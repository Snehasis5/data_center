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_All" sheetId="2" state="visible" r:id="rId4"/>
    <sheet name="Weights" sheetId="3" state="visible" r:id="rId5"/>
    <sheet name="Index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<sst xmlns="http://schemas.openxmlformats.org/spreadsheetml/2006/main" count="236" uniqueCount="158">
  <si>
    <t xml:space="preserve">Data-Centre Feasibility Index for Indian States, 2026</t>
  </si>
  <si>
    <t xml:space="preserve">Purpose: rank States/UTs on their suitability for new data-centre capacity, combining water, power, people and disaster-risk indicators.</t>
  </si>
  <si>
    <t xml:space="preserve">Sheets</t>
  </si>
  <si>
    <t xml:space="preserve">Data_All: every indicator for all 36 States/UTs, as published (blue = source values).</t>
  </si>
  <si>
    <t xml:space="preserve">Weights: PCA-derived weights (from Python, documented) plus equal, pillar and custom weight sets. Edit the yellow custom row to test your own weights.</t>
  </si>
  <si>
    <t xml:space="preserve">Index: the 19 eligible states, normalised indicators and four index variants, all formula-driven.</t>
  </si>
  <si>
    <t xml:space="preserve">Sources: full citation for each indicator.</t>
  </si>
  <si>
    <t xml:space="preserve">Method</t>
  </si>
  <si>
    <t xml:space="preserve">1. Screen: exclude States/UTs with groundwater stage of extraction above 90% (critical or over-exploited) and grids under 10 TWh/yr or without a 20 MW tariff; islands excluded. 19 states remain.</t>
  </si>
  <si>
    <t xml:space="preserve">2. Normalise: min–max to 0–1 across the 19 states; direction set so 1 = most favourable. Electricity supply uses natural logs.</t>
  </si>
  <si>
    <t xml:space="preserve">3. Weight: PCA on standardised indicators; 3 components with eigenvalue &gt;1 retained (75.1% of variance); varimax rotation; each indicator weighted by its squared loading on its dominant component, scaled by that component's share (OECD/JRC composite-indicator handbook approach).</t>
  </si>
  <si>
    <t xml:space="preserve">4. Score: Index = 100 × Σ(weight × normalised value).</t>
  </si>
  <si>
    <t xml:space="preserve">5. Robustness: Spearman rank correlation with PCA index — 0.975 (Disaster Risk Index instead of Hazard), 0.732 (equal indicator weights), 0.493 (equal pillar weights). States in the top 8 under all four schemes: Uttar Pradesh, Gujarat, Madhya Pradesh, Chhattisgarh.</t>
  </si>
  <si>
    <t xml:space="preserve">Caveats</t>
  </si>
  <si>
    <t xml:space="preserve">PCA weights reflect how indicators co-vary across 19 states, not policy importance; with n=19 they are indicative. Hazard data pre-date 2019. State averages hide district hotspots (e.g. Bengaluru Urban, Chennai). Land, fibre/subsea-cable access and renewable availability are not included.</t>
  </si>
  <si>
    <t xml:space="preserve">All indicators, all States/UTs</t>
  </si>
  <si>
    <t xml:space="preserve">Blue = source values; black = formulas. See Sources sheet for each column.</t>
  </si>
  <si>
    <t xml:space="preserve">State / UT</t>
  </si>
  <si>
    <t xml:space="preserve">Status in index</t>
  </si>
  <si>
    <t xml:space="preserve">GW recharge (BCM)</t>
  </si>
  <si>
    <t xml:space="preserve">GW extractable (BCM)</t>
  </si>
  <si>
    <t xml:space="preserve">GW extraction (BCM)</t>
  </si>
  <si>
    <t xml:space="preserve">Stage of extraction (%)</t>
  </si>
  <si>
    <t xml:space="preserve">GW headroom (BCM)</t>
  </si>
  <si>
    <t xml:space="preserve">Power supplied 2024-25 (MU)</t>
  </si>
  <si>
    <t xml:space="preserve">Energy shortfall (%)</t>
  </si>
  <si>
    <t xml:space="preserve">Tariff 20 MW @33kV (₹/kWh)</t>
  </si>
  <si>
    <t xml:space="preserve">Adults 15+ with diploma/degree (%)</t>
  </si>
  <si>
    <t xml:space="preserve">Urban regular salary (₹/month)</t>
  </si>
  <si>
    <t xml:space="preserve">Hazard index (0–10)</t>
  </si>
  <si>
    <t xml:space="preserve">Disaster Risk Index (0–100)</t>
  </si>
  <si>
    <t xml:space="preserve">Andhra Pradesh</t>
  </si>
  <si>
    <t xml:space="preserve">Ranked</t>
  </si>
  <si>
    <t xml:space="preserve">Arunachal Pradesh</t>
  </si>
  <si>
    <t xml:space="preserve">Not ranked (scale/data)</t>
  </si>
  <si>
    <t xml:space="preserve">Assam</t>
  </si>
  <si>
    <t xml:space="preserve">Bihar</t>
  </si>
  <si>
    <t xml:space="preserve">Chhattisgarh</t>
  </si>
  <si>
    <t xml:space="preserve">Goa</t>
  </si>
  <si>
    <t xml:space="preserve">Gujarat</t>
  </si>
  <si>
    <t xml:space="preserve">Haryana</t>
  </si>
  <si>
    <t xml:space="preserve">Screened out (groundwater)</t>
  </si>
  <si>
    <t xml:space="preserve">Himachal Pradesh</t>
  </si>
  <si>
    <t xml:space="preserve">Jharkhand</t>
  </si>
  <si>
    <t xml:space="preserve">Karnataka</t>
  </si>
  <si>
    <t xml:space="preserve">Kerala</t>
  </si>
  <si>
    <t xml:space="preserve">Madhya Pradesh</t>
  </si>
  <si>
    <t xml:space="preserve">Maharashtra</t>
  </si>
  <si>
    <t xml:space="preserve">Manipur</t>
  </si>
  <si>
    <t xml:space="preserve">n/a</t>
  </si>
  <si>
    <t xml:space="preserve">Meghalaya</t>
  </si>
  <si>
    <t xml:space="preserve">Mizoram</t>
  </si>
  <si>
    <t xml:space="preserve">Nagaland</t>
  </si>
  <si>
    <t xml:space="preserve">Odisha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</si>
  <si>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</si>
  <si>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</si>
  <si>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</si>
  <si>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</si>
  <si>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</si>
  <si>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</si>
  <si>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</si>
  <si>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</si>
  <si>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</si>
  <si>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Andaman and Nicobar</t>
  </si>
  <si>
    <t xml:space="preserve">Chandigarh</t>
  </si>
  <si>
    <t xml:space="preserve">Dadra and Nagar Haveli and Daman and Diu</t>
  </si>
  <si>
    <t xml:space="preserve">Delhi</t>
  </si>
  <si>
    <t xml:space="preserve">Jammu and Kashmir</t>
  </si>
  <si>
    <t xml:space="preserve">Ladakh</t>
  </si>
  <si>
    <t xml:space="preserve">Lakshadweep</t>
  </si>
  <si>
    <t xml:space="preserve">Puducherry</t>
  </si>
  <si>
    <t xml:space="preserve">Ladakh power supply is reported within Jammu &amp; Kashmir. Hazard/DRI: Ladakh uses J&amp;K values; DNH&amp;DD averages the two former UTs. Tariff n/a = no rate for this category in CEA table.</t>
  </si>
  <si>
    <t xml:space="preserve">Indicator weights</t>
  </si>
  <si>
    <t xml:space="preserve">Weight set</t>
  </si>
  <si>
    <t xml:space="preserve">Stage of extraction</t>
  </si>
  <si>
    <t xml:space="preserve">GW headroom</t>
  </si>
  <si>
    <t xml:space="preserve">Tariff</t>
  </si>
  <si>
    <t xml:space="preserve">Power supplied (log)</t>
  </si>
  <si>
    <t xml:space="preserve">Diploma/degree share</t>
  </si>
  <si>
    <t xml:space="preserve">Urban salary</t>
  </si>
  <si>
    <t xml:space="preserve">Hazard (or DRI)</t>
  </si>
  <si>
    <t xml:space="preserve">Sum</t>
  </si>
  <si>
    <t xml:space="preserve">PCA (main)</t>
  </si>
  <si>
    <t xml:space="preserve">Equal indicator</t>
  </si>
  <si>
    <t xml:space="preserve">Equal pillar (water, power, people, risk)</t>
  </si>
  <si>
    <t xml:space="preserve">Custom (edit me)</t>
  </si>
  <si>
    <t xml:space="preserve">Direction (1 = higher is better)</t>
  </si>
  <si>
    <t xml:space="preserve">lower</t>
  </si>
  <si>
    <t xml:space="preserve">higher</t>
  </si>
  <si>
    <t xml:space="preserve">PCA diagnostics (computed in Python/numpy on standardised indicators, n=19)</t>
  </si>
  <si>
    <t xml:space="preserve">Eigenvalues</t>
  </si>
  <si>
    <t xml:space="preserve">Share of variance</t>
  </si>
  <si>
    <t xml:space="preserve">Rotated loadings (varimax)</t>
  </si>
  <si>
    <t xml:space="preserve">Component 1</t>
  </si>
  <si>
    <t xml:space="preserve">Component 2</t>
  </si>
  <si>
    <t xml:space="preserve">Component 3</t>
  </si>
  <si>
    <t xml:space="preserve">The custom row (yellow) feeds the 'Custom index' column on the Index sheet. Weights should sum to 100%.</t>
  </si>
  <si>
    <t xml:space="preserve">Feasibility index — 19 eligible states</t>
  </si>
  <si>
    <t xml:space="preserve">Green = linked from Data_All. Normalised values: 1 = most favourable among the 19.</t>
  </si>
  <si>
    <t xml:space="preserve">State</t>
  </si>
  <si>
    <t xml:space="preserve">Tariff (₹/kWh)</t>
  </si>
  <si>
    <t xml:space="preserve">Power supplied (MU)</t>
  </si>
  <si>
    <t xml:space="preserve">Diploma/degree (%)</t>
  </si>
  <si>
    <t xml:space="preserve">Urban salary (₹)</t>
  </si>
  <si>
    <t xml:space="preserve">Hazard index</t>
  </si>
  <si>
    <t xml:space="preserve">DRI</t>
  </si>
  <si>
    <t xml:space="preserve">N: SoE</t>
  </si>
  <si>
    <t xml:space="preserve">N: Headroom</t>
  </si>
  <si>
    <t xml:space="preserve">N: Tariff</t>
  </si>
  <si>
    <t xml:space="preserve">N: Supply (log)</t>
  </si>
  <si>
    <t xml:space="preserve">N: Skills</t>
  </si>
  <si>
    <t xml:space="preserve">N: Wage</t>
  </si>
  <si>
    <t xml:space="preserve">N: Hazard</t>
  </si>
  <si>
    <t xml:space="preserve">N: DRI</t>
  </si>
  <si>
    <t xml:space="preserve">PCA index</t>
  </si>
  <si>
    <t xml:space="preserve">Rank</t>
  </si>
  <si>
    <t xml:space="preserve">Equal-indicator index</t>
  </si>
  <si>
    <t xml:space="preserve">Equal-pillar index</t>
  </si>
  <si>
    <t xml:space="preserve">DRI-swap index</t>
  </si>
  <si>
    <t xml:space="preserve">Top 8 in (of 4)</t>
  </si>
  <si>
    <t xml:space="preserve">Custom index</t>
  </si>
  <si>
    <t xml:space="preserve">Raw values above are linked; changing Data_All or Weights re-ranks automatically. Top 8 in = number of the four schemes (PCA, equal, pillar, DRI-swap) placing the state in the top eight.</t>
  </si>
  <si>
    <t xml:space="preserve">Sources</t>
  </si>
  <si>
    <t xml:space="preserve">Indicator</t>
  </si>
  <si>
    <t xml:space="preserve">Source</t>
  </si>
  <si>
    <t xml:space="preserve">Period</t>
  </si>
  <si>
    <t xml:space="preserve">Notes</t>
  </si>
  <si>
    <t xml:space="preserve">Groundwater (recharge, extractable, extraction, stage)</t>
  </si>
  <si>
    <t xml:space="preserve">Ministry of Jal Shakti, Lok Sabha reply; PIB release 2206073 (18 Dec 2025), Annexure-I — Dynamic Ground Water Resources of India 2025 (CGWB)</t>
  </si>
  <si>
    <t xml:space="preserve">2025</t>
  </si>
  <si>
    <t xml:space="preserve">State totals; district hotspots not reflected</t>
  </si>
  <si>
    <t xml:space="preserve">Power supplied, shortfall</t>
  </si>
  <si>
    <t xml:space="preserve">CEA power supply position via Ministry of Power, Rajya Sabha Unstarred Q. 1752 (4 Aug 2025), Annexure-III</t>
  </si>
  <si>
    <t xml:space="preserve">FY 2024-25</t>
  </si>
  <si>
    <t xml:space="preserve">Same CEA series reproduced in RBI Handbook of Statistics on Indian States (availability of power); RBI site blocked automated download</t>
  </si>
  <si>
    <t xml:space="preserve">Industrial tariff</t>
  </si>
  <si>
    <t xml:space="preserve">CEA, Electricity Tariff &amp; Duty and Average Rates of Electricity Supply in India, March 2026, Table 7(f): Large industries 20,000 kW, 60% LF, 33 kV, incl. duty</t>
  </si>
  <si>
    <t xml:space="preserve">Tariffs effective 2025-26</t>
  </si>
  <si>
    <t xml:space="preserve">data.gov.in tariff dataset last updated 2013, so latest CEA edition used; Delhi rate from Oct 2021 order</t>
  </si>
  <si>
    <t xml:space="preserve">Skilled share</t>
  </si>
  <si>
    <t xml:space="preserve">PLFS Annual Report 2025 (MoSPI/NSO), Appendix A Table 8, rural+urban persons 15+: diploma/certificate + graduate + postgraduate &amp; above</t>
  </si>
  <si>
    <t xml:space="preserve">Jan–Dec 2025</t>
  </si>
  <si>
    <t xml:space="preserve">Share, not absolute pool size</t>
  </si>
  <si>
    <t xml:space="preserve">Wage cost</t>
  </si>
  <si>
    <t xml:space="preserve">PLFS Annual Report 2025, Appendix A Table 38, urban person average wage/salary earnings of regular wage/salaried employees (CWS)</t>
  </si>
  <si>
    <t xml:space="preserve">Average across occupations, not data-centre specific</t>
  </si>
  <si>
    <t xml:space="preserve">Hazard index; Disaster Risk Index</t>
  </si>
  <si>
    <t xml:space="preserve">MHA–UNDP Disaster Score Card study (P.G. Dhar Chakrabarti), 'Measuring Disaster Risks and Resilience at Sub-National Level in India', Table 1.6</t>
  </si>
  <si>
    <t xml:space="preserve">Pre-2019</t>
  </si>
  <si>
    <t xml:space="preserve">Ladakh uses J&amp;K values; DNH&amp;DD averaged; NDM portal copy unavailable at time of access (preventionweb copy used)</t>
  </si>
  <si>
    <t xml:space="preserve">Data-centre hubs</t>
  </si>
  <si>
    <t xml:space="preserve">CEEW, Scaling India's Data Centre Ecosystem (Sept 2026), Figure 2, from Data Center Map, CBRE H1 2025, Savills</t>
  </si>
  <si>
    <t xml:space="preserve">Jan 2026</t>
  </si>
  <si>
    <t xml:space="preserve">Used for narrative, not in index</t>
  </si>
  <si>
    <t xml:space="preserve">Capacity outlook</t>
  </si>
  <si>
    <t xml:space="preserve">JLL India data centre mid-year report 2026</t>
  </si>
  <si>
    <t xml:space="preserve">Mid-2026</t>
  </si>
  <si>
    <t xml:space="preserve">1.6 GW to 6 GW by 2029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</si>
</sst>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0;[RED]\-0.00"/>
    <numFmt numFmtId="167" formatCode="#,##0"/>
    <numFmt numFmtId="168" formatCode="0.0"/>
    <numFmt numFmtId="169" formatCode="0.0%"/>
    <numFmt numFmtId="170" formatCode="0.000"/>
    <numFmt numFmtId="171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23.8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23.8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23.8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13</v>
      </c>
    </row>
    <row r="19" customFormat="false" ht="23.85" hidden="false" customHeight="false" outlineLevel="0" collapsed="false">
      <c r="A19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7" min="3" style="0" width="11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11"/>
  </cols>
  <sheetData>
    <row r="1" customFormat="false" ht="17.35" hidden="false" customHeight="false" outlineLevel="0" collapsed="false">
      <c r="A1" s="4" t="s">
        <v>15</v>
      </c>
    </row>
    <row r="2" customFormat="false" ht="15" hidden="false" customHeight="false" outlineLevel="0" collapsed="false">
      <c r="A2" s="5" t="s">
        <v>16</v>
      </c>
    </row>
    <row r="4" customFormat="false" ht="57.75" hidden="false" customHeight="true" outlineLevel="0" collapsed="false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  <c r="I4" s="6" t="s">
        <v>25</v>
      </c>
      <c r="J4" s="6" t="s">
        <v>26</v>
      </c>
      <c r="K4" s="6" t="s">
        <v>27</v>
      </c>
      <c r="L4" s="6" t="s">
        <v>28</v>
      </c>
      <c r="M4" s="6" t="s">
        <v>29</v>
      </c>
      <c r="N4" s="6" t="s">
        <v>30</v>
      </c>
    </row>
    <row r="5" customFormat="false" ht="15" hidden="false" customHeight="false" outlineLevel="0" collapsed="false">
      <c r="A5" s="7" t="s">
        <v>31</v>
      </c>
      <c r="B5" s="7" t="s">
        <v>32</v>
      </c>
      <c r="C5" s="8" t="n">
        <v>26.34</v>
      </c>
      <c r="D5" s="8" t="n">
        <v>25.02</v>
      </c>
      <c r="E5" s="8" t="n">
        <v>7.88</v>
      </c>
      <c r="F5" s="8" t="n">
        <v>31.51</v>
      </c>
      <c r="G5" s="9" t="n">
        <f aca="false">D5-E5</f>
        <v>17.14</v>
      </c>
      <c r="H5" s="10" t="n">
        <v>79025</v>
      </c>
      <c r="I5" s="11" t="n">
        <v>0</v>
      </c>
      <c r="J5" s="8" t="n">
        <v>7.36</v>
      </c>
      <c r="K5" s="11" t="n">
        <v>14.8</v>
      </c>
      <c r="L5" s="10" t="n">
        <v>25574</v>
      </c>
      <c r="M5" s="8" t="n">
        <v>4.25</v>
      </c>
      <c r="N5" s="8" t="n">
        <v>27.58</v>
      </c>
    </row>
    <row r="6" customFormat="false" ht="15" hidden="false" customHeight="false" outlineLevel="0" collapsed="false">
      <c r="A6" s="7" t="s">
        <v>33</v>
      </c>
      <c r="B6" s="7" t="s">
        <v>34</v>
      </c>
      <c r="C6" s="8" t="n">
        <v>3.69</v>
      </c>
      <c r="D6" s="8" t="n">
        <v>3.29</v>
      </c>
      <c r="E6" s="8" t="n">
        <v>0.01</v>
      </c>
      <c r="F6" s="8" t="n">
        <v>0.41</v>
      </c>
      <c r="G6" s="9" t="n">
        <f aca="false">D6-E6</f>
        <v>3.28</v>
      </c>
      <c r="H6" s="10" t="n">
        <v>1050</v>
      </c>
      <c r="I6" s="11" t="n">
        <v>0</v>
      </c>
      <c r="J6" s="8" t="n">
        <v>4.15</v>
      </c>
      <c r="K6" s="11" t="n">
        <v>12.6</v>
      </c>
      <c r="L6" s="10" t="n">
        <v>34678</v>
      </c>
      <c r="M6" s="8" t="n">
        <v>2.76</v>
      </c>
      <c r="N6" s="8" t="n">
        <v>15.63</v>
      </c>
    </row>
    <row r="7" customFormat="false" ht="15" hidden="false" customHeight="false" outlineLevel="0" collapsed="false">
      <c r="A7" s="7" t="s">
        <v>35</v>
      </c>
      <c r="B7" s="7" t="s">
        <v>32</v>
      </c>
      <c r="C7" s="8" t="n">
        <v>26.36</v>
      </c>
      <c r="D7" s="8" t="n">
        <v>20.29</v>
      </c>
      <c r="E7" s="8" t="n">
        <v>2.93</v>
      </c>
      <c r="F7" s="8" t="n">
        <v>14.45</v>
      </c>
      <c r="G7" s="9" t="n">
        <f aca="false">D7-E7</f>
        <v>17.36</v>
      </c>
      <c r="H7" s="10" t="n">
        <v>12837</v>
      </c>
      <c r="I7" s="11" t="n">
        <v>0</v>
      </c>
      <c r="J7" s="8" t="n">
        <v>8.97</v>
      </c>
      <c r="K7" s="11" t="n">
        <v>8.5</v>
      </c>
      <c r="L7" s="10" t="n">
        <v>27299</v>
      </c>
      <c r="M7" s="8" t="n">
        <v>3.03</v>
      </c>
      <c r="N7" s="8" t="n">
        <v>28.75</v>
      </c>
    </row>
    <row r="8" customFormat="false" ht="15" hidden="false" customHeight="false" outlineLevel="0" collapsed="false">
      <c r="A8" s="7" t="s">
        <v>36</v>
      </c>
      <c r="B8" s="7" t="s">
        <v>32</v>
      </c>
      <c r="C8" s="8" t="n">
        <v>34.51</v>
      </c>
      <c r="D8" s="8" t="n">
        <v>31.32</v>
      </c>
      <c r="E8" s="8" t="n">
        <v>14.47</v>
      </c>
      <c r="F8" s="8" t="n">
        <v>46.2</v>
      </c>
      <c r="G8" s="9" t="n">
        <f aca="false">D8-E8</f>
        <v>16.85</v>
      </c>
      <c r="H8" s="10" t="n">
        <v>44217</v>
      </c>
      <c r="I8" s="11" t="n">
        <v>0.4</v>
      </c>
      <c r="J8" s="8" t="n">
        <v>10.62</v>
      </c>
      <c r="K8" s="11" t="n">
        <v>9.7</v>
      </c>
      <c r="L8" s="10" t="n">
        <v>24968</v>
      </c>
      <c r="M8" s="8" t="n">
        <v>3.13</v>
      </c>
      <c r="N8" s="8" t="n">
        <v>24.99</v>
      </c>
    </row>
    <row r="9" customFormat="false" ht="15" hidden="false" customHeight="false" outlineLevel="0" collapsed="false">
      <c r="A9" s="7" t="s">
        <v>37</v>
      </c>
      <c r="B9" s="7" t="s">
        <v>32</v>
      </c>
      <c r="C9" s="8" t="n">
        <v>14.3</v>
      </c>
      <c r="D9" s="8" t="n">
        <v>13.07</v>
      </c>
      <c r="E9" s="8" t="n">
        <v>6.3</v>
      </c>
      <c r="F9" s="8" t="n">
        <v>48.18</v>
      </c>
      <c r="G9" s="9" t="n">
        <f aca="false">D9-E9</f>
        <v>6.77</v>
      </c>
      <c r="H9" s="10" t="n">
        <v>43180</v>
      </c>
      <c r="I9" s="11" t="n">
        <v>0.1</v>
      </c>
      <c r="J9" s="8" t="n">
        <v>9.69</v>
      </c>
      <c r="K9" s="11" t="n">
        <v>11.9</v>
      </c>
      <c r="L9" s="10" t="n">
        <v>21042</v>
      </c>
      <c r="M9" s="8" t="n">
        <v>2.25</v>
      </c>
      <c r="N9" s="8" t="n">
        <v>14.2</v>
      </c>
    </row>
    <row r="10" customFormat="false" ht="15" hidden="false" customHeight="false" outlineLevel="0" collapsed="false">
      <c r="A10" s="7" t="s">
        <v>38</v>
      </c>
      <c r="B10" s="7" t="s">
        <v>34</v>
      </c>
      <c r="C10" s="8" t="n">
        <v>0.38</v>
      </c>
      <c r="D10" s="8" t="n">
        <v>0.31</v>
      </c>
      <c r="E10" s="8" t="n">
        <v>0.07</v>
      </c>
      <c r="F10" s="8" t="n">
        <v>23.3</v>
      </c>
      <c r="G10" s="9" t="n">
        <f aca="false">D10-E10</f>
        <v>0.24</v>
      </c>
      <c r="H10" s="10" t="n">
        <v>5411</v>
      </c>
      <c r="I10" s="11" t="n">
        <v>0</v>
      </c>
      <c r="J10" s="8" t="n">
        <v>7.12</v>
      </c>
      <c r="K10" s="11" t="n">
        <v>21.8</v>
      </c>
      <c r="L10" s="10" t="n">
        <v>30852</v>
      </c>
      <c r="M10" s="8" t="n">
        <v>1.96</v>
      </c>
      <c r="N10" s="8" t="n">
        <v>10.35</v>
      </c>
    </row>
    <row r="11" customFormat="false" ht="15" hidden="false" customHeight="false" outlineLevel="0" collapsed="false">
      <c r="A11" s="7" t="s">
        <v>39</v>
      </c>
      <c r="B11" s="7" t="s">
        <v>32</v>
      </c>
      <c r="C11" s="8" t="n">
        <v>27.58</v>
      </c>
      <c r="D11" s="8" t="n">
        <v>25.61</v>
      </c>
      <c r="E11" s="8" t="n">
        <v>14.33</v>
      </c>
      <c r="F11" s="8" t="n">
        <v>55.95</v>
      </c>
      <c r="G11" s="9" t="n">
        <f aca="false">D11-E11</f>
        <v>11.28</v>
      </c>
      <c r="H11" s="10" t="n">
        <v>151875</v>
      </c>
      <c r="I11" s="11" t="n">
        <v>0</v>
      </c>
      <c r="J11" s="8" t="n">
        <v>6.22</v>
      </c>
      <c r="K11" s="11" t="n">
        <v>14.9</v>
      </c>
      <c r="L11" s="10" t="n">
        <v>21805</v>
      </c>
      <c r="M11" s="8" t="n">
        <v>3.66</v>
      </c>
      <c r="N11" s="8" t="n">
        <v>27.44</v>
      </c>
    </row>
    <row r="12" customFormat="false" ht="15" hidden="false" customHeight="false" outlineLevel="0" collapsed="false">
      <c r="A12" s="7" t="s">
        <v>40</v>
      </c>
      <c r="B12" s="7" t="s">
        <v>41</v>
      </c>
      <c r="C12" s="8" t="n">
        <v>10.27</v>
      </c>
      <c r="D12" s="8" t="n">
        <v>9.3</v>
      </c>
      <c r="E12" s="8" t="n">
        <v>12.72</v>
      </c>
      <c r="F12" s="8" t="n">
        <v>136.75</v>
      </c>
      <c r="G12" s="9" t="n">
        <f aca="false">D12-E12</f>
        <v>-3.42</v>
      </c>
      <c r="H12" s="10" t="n">
        <v>70120</v>
      </c>
      <c r="I12" s="11" t="n">
        <v>0</v>
      </c>
      <c r="J12" s="8" t="n">
        <v>8.61</v>
      </c>
      <c r="K12" s="11" t="n">
        <v>21.3</v>
      </c>
      <c r="L12" s="10" t="n">
        <v>31306</v>
      </c>
      <c r="M12" s="8" t="n">
        <v>2.26</v>
      </c>
      <c r="N12" s="8" t="n">
        <v>14.76</v>
      </c>
    </row>
    <row r="13" customFormat="false" ht="15" hidden="false" customHeight="false" outlineLevel="0" collapsed="false">
      <c r="A13" s="7" t="s">
        <v>42</v>
      </c>
      <c r="B13" s="7" t="s">
        <v>32</v>
      </c>
      <c r="C13" s="8" t="n">
        <v>1.12</v>
      </c>
      <c r="D13" s="8" t="n">
        <v>1.01</v>
      </c>
      <c r="E13" s="8" t="n">
        <v>0.39</v>
      </c>
      <c r="F13" s="8" t="n">
        <v>38.5</v>
      </c>
      <c r="G13" s="9" t="n">
        <f aca="false">D13-E13</f>
        <v>0.62</v>
      </c>
      <c r="H13" s="10" t="n">
        <v>13526</v>
      </c>
      <c r="I13" s="11" t="n">
        <v>0.3</v>
      </c>
      <c r="J13" s="8" t="n">
        <v>8.07</v>
      </c>
      <c r="K13" s="11" t="n">
        <v>22.7</v>
      </c>
      <c r="L13" s="10" t="n">
        <v>27878</v>
      </c>
      <c r="M13" s="8" t="n">
        <v>3.03</v>
      </c>
      <c r="N13" s="8" t="n">
        <v>15.63</v>
      </c>
    </row>
    <row r="14" customFormat="false" ht="15" hidden="false" customHeight="false" outlineLevel="0" collapsed="false">
      <c r="A14" s="7" t="s">
        <v>43</v>
      </c>
      <c r="B14" s="7" t="s">
        <v>32</v>
      </c>
      <c r="C14" s="8" t="n">
        <v>6.15</v>
      </c>
      <c r="D14" s="8" t="n">
        <v>5.63</v>
      </c>
      <c r="E14" s="8" t="n">
        <v>1.85</v>
      </c>
      <c r="F14" s="8" t="n">
        <v>32.89</v>
      </c>
      <c r="G14" s="9" t="n">
        <f aca="false">D14-E14</f>
        <v>3.78</v>
      </c>
      <c r="H14" s="10" t="n">
        <v>15126</v>
      </c>
      <c r="I14" s="11" t="n">
        <v>0.5</v>
      </c>
      <c r="J14" s="8" t="n">
        <v>8.82</v>
      </c>
      <c r="K14" s="11" t="n">
        <v>9.9</v>
      </c>
      <c r="L14" s="10" t="n">
        <v>30055</v>
      </c>
      <c r="M14" s="8" t="n">
        <v>2.46</v>
      </c>
      <c r="N14" s="8" t="n">
        <v>17.03</v>
      </c>
    </row>
    <row r="15" customFormat="false" ht="15" hidden="false" customHeight="false" outlineLevel="0" collapsed="false">
      <c r="A15" s="7" t="s">
        <v>44</v>
      </c>
      <c r="B15" s="7" t="s">
        <v>32</v>
      </c>
      <c r="C15" s="8" t="n">
        <v>19.27</v>
      </c>
      <c r="D15" s="8" t="n">
        <v>17.41</v>
      </c>
      <c r="E15" s="8" t="n">
        <v>11.58</v>
      </c>
      <c r="F15" s="8" t="n">
        <v>66.49</v>
      </c>
      <c r="G15" s="9" t="n">
        <f aca="false">D15-E15</f>
        <v>5.83</v>
      </c>
      <c r="H15" s="10" t="n">
        <v>92446</v>
      </c>
      <c r="I15" s="11" t="n">
        <v>0</v>
      </c>
      <c r="J15" s="8" t="n">
        <v>8.1</v>
      </c>
      <c r="K15" s="11" t="n">
        <v>17.4</v>
      </c>
      <c r="L15" s="10" t="n">
        <v>30471</v>
      </c>
      <c r="M15" s="8" t="n">
        <v>2.78</v>
      </c>
      <c r="N15" s="8" t="n">
        <v>29.82</v>
      </c>
    </row>
    <row r="16" customFormat="false" ht="15" hidden="false" customHeight="false" outlineLevel="0" collapsed="false">
      <c r="A16" s="7" t="s">
        <v>45</v>
      </c>
      <c r="B16" s="7" t="s">
        <v>32</v>
      </c>
      <c r="C16" s="8" t="n">
        <v>5.45</v>
      </c>
      <c r="D16" s="8" t="n">
        <v>4.93</v>
      </c>
      <c r="E16" s="8" t="n">
        <v>2.46</v>
      </c>
      <c r="F16" s="8" t="n">
        <v>49.95</v>
      </c>
      <c r="G16" s="9" t="n">
        <f aca="false">D16-E16</f>
        <v>2.47</v>
      </c>
      <c r="H16" s="10" t="n">
        <v>31616</v>
      </c>
      <c r="I16" s="11" t="n">
        <v>0</v>
      </c>
      <c r="J16" s="8" t="n">
        <v>7.63</v>
      </c>
      <c r="K16" s="11" t="n">
        <v>25</v>
      </c>
      <c r="L16" s="10" t="n">
        <v>28475</v>
      </c>
      <c r="M16" s="8" t="n">
        <v>2.97</v>
      </c>
      <c r="N16" s="8" t="n">
        <v>13.75</v>
      </c>
    </row>
    <row r="17" customFormat="false" ht="15" hidden="false" customHeight="false" outlineLevel="0" collapsed="false">
      <c r="A17" s="7" t="s">
        <v>46</v>
      </c>
      <c r="B17" s="7" t="s">
        <v>32</v>
      </c>
      <c r="C17" s="8" t="n">
        <v>36.07</v>
      </c>
      <c r="D17" s="8" t="n">
        <v>34.15</v>
      </c>
      <c r="E17" s="8" t="n">
        <v>20.26</v>
      </c>
      <c r="F17" s="8" t="n">
        <v>59.32</v>
      </c>
      <c r="G17" s="9" t="n">
        <f aca="false">D17-E17</f>
        <v>13.89</v>
      </c>
      <c r="H17" s="10" t="n">
        <v>104312</v>
      </c>
      <c r="I17" s="11" t="n">
        <v>0.1</v>
      </c>
      <c r="J17" s="8" t="n">
        <v>8.73</v>
      </c>
      <c r="K17" s="11" t="n">
        <v>12.7</v>
      </c>
      <c r="L17" s="10" t="n">
        <v>22768</v>
      </c>
      <c r="M17" s="8" t="n">
        <v>2.81</v>
      </c>
      <c r="N17" s="8" t="n">
        <v>30.79</v>
      </c>
    </row>
    <row r="18" customFormat="false" ht="15" hidden="false" customHeight="false" outlineLevel="0" collapsed="false">
      <c r="A18" s="7" t="s">
        <v>47</v>
      </c>
      <c r="B18" s="7" t="s">
        <v>32</v>
      </c>
      <c r="C18" s="8" t="n">
        <v>33.89</v>
      </c>
      <c r="D18" s="8" t="n">
        <v>31.99</v>
      </c>
      <c r="E18" s="8" t="n">
        <v>16.57</v>
      </c>
      <c r="F18" s="8" t="n">
        <v>51.79</v>
      </c>
      <c r="G18" s="9" t="n">
        <f aca="false">D18-E18</f>
        <v>15.42</v>
      </c>
      <c r="H18" s="10" t="n">
        <v>201757</v>
      </c>
      <c r="I18" s="11" t="n">
        <v>0</v>
      </c>
      <c r="J18" s="8" t="n">
        <v>13.18</v>
      </c>
      <c r="K18" s="11" t="n">
        <v>20.3</v>
      </c>
      <c r="L18" s="10" t="n">
        <v>30493</v>
      </c>
      <c r="M18" s="8" t="n">
        <v>4.07</v>
      </c>
      <c r="N18" s="8" t="n">
        <v>54.75</v>
      </c>
    </row>
    <row r="19" customFormat="false" ht="15" hidden="false" customHeight="false" outlineLevel="0" collapsed="false">
      <c r="A19" s="7" t="s">
        <v>48</v>
      </c>
      <c r="B19" s="7" t="s">
        <v>34</v>
      </c>
      <c r="C19" s="8" t="n">
        <v>0.44</v>
      </c>
      <c r="D19" s="8" t="n">
        <v>0.4</v>
      </c>
      <c r="E19" s="8" t="n">
        <v>0.04</v>
      </c>
      <c r="F19" s="8" t="n">
        <v>9.09</v>
      </c>
      <c r="G19" s="9" t="n">
        <f aca="false">D19-E19</f>
        <v>0.36</v>
      </c>
      <c r="H19" s="10" t="n">
        <v>1068</v>
      </c>
      <c r="I19" s="11" t="n">
        <v>0.9</v>
      </c>
      <c r="J19" s="8" t="s">
        <v>49</v>
      </c>
      <c r="K19" s="11" t="n">
        <v>21.7</v>
      </c>
      <c r="L19" s="10" t="n">
        <v>32999</v>
      </c>
      <c r="M19" s="8" t="n">
        <v>2.96</v>
      </c>
      <c r="N19" s="8" t="n">
        <v>16.11</v>
      </c>
    </row>
    <row r="20" customFormat="false" ht="15" hidden="false" customHeight="false" outlineLevel="0" collapsed="false">
      <c r="A20" s="7" t="s">
        <v>50</v>
      </c>
      <c r="B20" s="7" t="s">
        <v>34</v>
      </c>
      <c r="C20" s="8" t="n">
        <v>1.84</v>
      </c>
      <c r="D20" s="8" t="n">
        <v>1.54</v>
      </c>
      <c r="E20" s="8" t="n">
        <v>0.08</v>
      </c>
      <c r="F20" s="8" t="n">
        <v>5.24</v>
      </c>
      <c r="G20" s="9" t="n">
        <f aca="false">D20-E20</f>
        <v>1.46</v>
      </c>
      <c r="H20" s="10" t="n">
        <v>2046</v>
      </c>
      <c r="I20" s="11" t="n">
        <v>0</v>
      </c>
      <c r="J20" s="8" t="n">
        <v>11.15</v>
      </c>
      <c r="K20" s="11" t="n">
        <v>9.2</v>
      </c>
      <c r="L20" s="10" t="n">
        <v>25747</v>
      </c>
      <c r="M20" s="8" t="n">
        <v>2.65</v>
      </c>
      <c r="N20" s="8" t="n">
        <v>15.88</v>
      </c>
    </row>
    <row r="21" customFormat="false" ht="15" hidden="false" customHeight="false" outlineLevel="0" collapsed="false">
      <c r="A21" s="7" t="s">
        <v>51</v>
      </c>
      <c r="B21" s="7" t="s">
        <v>34</v>
      </c>
      <c r="C21" s="8" t="n">
        <v>0.21</v>
      </c>
      <c r="D21" s="8" t="n">
        <v>0.19</v>
      </c>
      <c r="E21" s="8" t="n">
        <v>0.01</v>
      </c>
      <c r="F21" s="8" t="n">
        <v>4.03</v>
      </c>
      <c r="G21" s="9" t="n">
        <f aca="false">D21-E21</f>
        <v>0.18</v>
      </c>
      <c r="H21" s="10" t="n">
        <v>709</v>
      </c>
      <c r="I21" s="11" t="n">
        <v>0</v>
      </c>
      <c r="J21" s="8" t="s">
        <v>49</v>
      </c>
      <c r="K21" s="11" t="n">
        <v>17.8</v>
      </c>
      <c r="L21" s="10" t="n">
        <v>37626</v>
      </c>
      <c r="M21" s="8" t="n">
        <v>3.06</v>
      </c>
      <c r="N21" s="8" t="n">
        <v>14.71</v>
      </c>
    </row>
    <row r="22" customFormat="false" ht="15" hidden="false" customHeight="false" outlineLevel="0" collapsed="false">
      <c r="A22" s="7" t="s">
        <v>52</v>
      </c>
      <c r="B22" s="7" t="s">
        <v>34</v>
      </c>
      <c r="C22" s="8" t="n">
        <v>0.55</v>
      </c>
      <c r="D22" s="8" t="n">
        <v>0.5</v>
      </c>
      <c r="E22" s="8" t="n">
        <v>0.02</v>
      </c>
      <c r="F22" s="8" t="n">
        <v>4.72</v>
      </c>
      <c r="G22" s="9" t="n">
        <f aca="false">D22-E22</f>
        <v>0.48</v>
      </c>
      <c r="H22" s="10" t="n">
        <v>938</v>
      </c>
      <c r="I22" s="11" t="n">
        <v>0</v>
      </c>
      <c r="J22" s="8" t="s">
        <v>49</v>
      </c>
      <c r="K22" s="11" t="n">
        <v>14.5</v>
      </c>
      <c r="L22" s="10" t="n">
        <v>35430</v>
      </c>
      <c r="M22" s="8" t="n">
        <v>2.82</v>
      </c>
      <c r="N22" s="8" t="n">
        <v>15.92</v>
      </c>
    </row>
    <row r="23" customFormat="false" ht="15" hidden="false" customHeight="false" outlineLevel="0" collapsed="false">
      <c r="A23" s="7" t="s">
        <v>53</v>
      </c>
      <c r="B23" s="7" t="s">
        <v>32</v>
      </c>
      <c r="C23" s="8" t="n">
        <v>17.44</v>
      </c>
      <c r="D23" s="8" t="n">
        <v>16.02</v>
      </c>
      <c r="E23" s="8" t="n">
        <v>7.81</v>
      </c>
      <c r="F23" s="8" t="n">
        <v>48.75</v>
      </c>
      <c r="G23" s="9" t="n">
        <f aca="false">D23-E23</f>
        <v>8.21</v>
      </c>
      <c r="H23" s="10" t="n">
        <v>42858</v>
      </c>
      <c r="I23" s="11" t="n">
        <v>0.1</v>
      </c>
      <c r="J23" s="8" t="n">
        <v>6.95</v>
      </c>
      <c r="K23" s="11" t="n">
        <v>11.1</v>
      </c>
      <c r="L23" s="10" t="n">
        <v>24955</v>
      </c>
      <c r="M23" s="8" t="n">
        <v>3.8</v>
      </c>
      <c r="N23" s="8" t="n">
        <v>22.68</v>
      </c>
    </row>
    <row r="24" customFormat="false" ht="15" hidden="false" customHeight="false" outlineLevel="0" collapsed="false">
      <c r="A24" s="7" t="s">
        <v>54</v>
      </c>
      <c r="B24" s="7" t="s">
        <v>41</v>
      </c>
      <c r="C24" s="8" t="n">
        <v>18.6</v>
      </c>
      <c r="D24" s="8" t="n">
        <v>16.8</v>
      </c>
      <c r="E24" s="8" t="n">
        <v>26.27</v>
      </c>
      <c r="F24" s="8" t="n">
        <v>156.36</v>
      </c>
      <c r="G24" s="9" t="n">
        <f aca="false">D24-E24</f>
        <v>-9.47</v>
      </c>
      <c r="H24" s="10" t="n">
        <v>77423</v>
      </c>
      <c r="I24" s="11" t="n">
        <v>0</v>
      </c>
      <c r="J24" s="8" t="n">
        <v>9.21</v>
      </c>
      <c r="K24" s="11" t="n">
        <v>12.9</v>
      </c>
      <c r="L24" s="10" t="n">
        <v>18682</v>
      </c>
      <c r="M24" s="8" t="n">
        <v>2.67</v>
      </c>
      <c r="N24" s="8" t="n">
        <v>21.29</v>
      </c>
    </row>
    <row r="25" customFormat="false" ht="15" hidden="false" customHeight="false" outlineLevel="0" collapsed="false">
      <c r="A25" s="7" t="s">
        <v>55</v>
      </c>
      <c r="B25" s="7" t="s">
        <v>41</v>
      </c>
      <c r="C25" s="8" t="n">
        <v>12.87</v>
      </c>
      <c r="D25" s="8" t="n">
        <v>11.62</v>
      </c>
      <c r="E25" s="8" t="n">
        <v>17.1</v>
      </c>
      <c r="F25" s="8" t="n">
        <v>147.11</v>
      </c>
      <c r="G25" s="9" t="n">
        <f aca="false">D25-E25</f>
        <v>-5.48</v>
      </c>
      <c r="H25" s="10" t="n">
        <v>113529</v>
      </c>
      <c r="I25" s="11" t="n">
        <v>0.3</v>
      </c>
      <c r="J25" s="8" t="n">
        <v>8.11</v>
      </c>
      <c r="K25" s="11" t="n">
        <v>15.7</v>
      </c>
      <c r="L25" s="10" t="n">
        <v>25950</v>
      </c>
      <c r="M25" s="8" t="n">
        <v>2.29</v>
      </c>
      <c r="N25" s="8" t="n">
        <v>30.04</v>
      </c>
    </row>
    <row r="26" customFormat="false" ht="15" hidden="false" customHeight="false" outlineLevel="0" collapsed="false">
      <c r="A26" s="7" t="s">
        <v>56</v>
      </c>
      <c r="B26" s="7" t="s">
        <v>34</v>
      </c>
      <c r="C26" s="8" t="n">
        <v>0.24</v>
      </c>
      <c r="D26" s="8" t="n">
        <v>0.22</v>
      </c>
      <c r="E26" s="8" t="n">
        <v>0.01</v>
      </c>
      <c r="F26" s="8" t="n">
        <v>5.87</v>
      </c>
      <c r="G26" s="9" t="n">
        <f aca="false">D26-E26</f>
        <v>0.21</v>
      </c>
      <c r="H26" s="10" t="n">
        <v>574</v>
      </c>
      <c r="I26" s="11" t="n">
        <v>0</v>
      </c>
      <c r="J26" s="8" t="s">
        <v>49</v>
      </c>
      <c r="K26" s="11" t="n">
        <v>17.5</v>
      </c>
      <c r="L26" s="10" t="n">
        <v>29848</v>
      </c>
      <c r="M26" s="8" t="n">
        <v>2.12</v>
      </c>
      <c r="N26" s="8" t="n">
        <v>11.11</v>
      </c>
    </row>
    <row r="27" customFormat="false" ht="15" hidden="false" customHeight="false" outlineLevel="0" collapsed="false">
      <c r="A27" s="7" t="s">
        <v>57</v>
      </c>
      <c r="B27" s="7" t="s">
        <v>32</v>
      </c>
      <c r="C27" s="8" t="n">
        <v>22.61</v>
      </c>
      <c r="D27" s="8" t="n">
        <v>20.46</v>
      </c>
      <c r="E27" s="8" t="n">
        <v>15.04</v>
      </c>
      <c r="F27" s="8" t="n">
        <v>73.5</v>
      </c>
      <c r="G27" s="9" t="n">
        <f aca="false">D27-E27</f>
        <v>5.42</v>
      </c>
      <c r="H27" s="10" t="n">
        <v>130408</v>
      </c>
      <c r="I27" s="11" t="n">
        <v>0</v>
      </c>
      <c r="J27" s="8" t="n">
        <v>9.49</v>
      </c>
      <c r="K27" s="11" t="n">
        <v>24.7</v>
      </c>
      <c r="L27" s="10" t="n">
        <v>26223</v>
      </c>
      <c r="M27" s="8" t="n">
        <v>2.84</v>
      </c>
      <c r="N27" s="8" t="n">
        <v>22.36</v>
      </c>
    </row>
    <row r="28" customFormat="false" ht="15" hidden="false" customHeight="false" outlineLevel="0" collapsed="false">
      <c r="A28" s="7" t="s">
        <v>58</v>
      </c>
      <c r="B28" s="7" t="s">
        <v>32</v>
      </c>
      <c r="C28" s="8" t="n">
        <v>21.93</v>
      </c>
      <c r="D28" s="8" t="n">
        <v>19.84</v>
      </c>
      <c r="E28" s="8" t="n">
        <v>9.26</v>
      </c>
      <c r="F28" s="8" t="n">
        <v>46.69</v>
      </c>
      <c r="G28" s="9" t="n">
        <f aca="false">D28-E28</f>
        <v>10.58</v>
      </c>
      <c r="H28" s="10" t="n">
        <v>88258</v>
      </c>
      <c r="I28" s="11" t="n">
        <v>0</v>
      </c>
      <c r="J28" s="8" t="n">
        <v>8.79</v>
      </c>
      <c r="K28" s="11" t="n">
        <v>18.3</v>
      </c>
      <c r="L28" s="10" t="n">
        <v>29697</v>
      </c>
      <c r="M28" s="8" t="n">
        <v>2</v>
      </c>
      <c r="N28" s="8" t="n">
        <v>18.25</v>
      </c>
    </row>
    <row r="29" customFormat="false" ht="15" hidden="false" customHeight="false" outlineLevel="0" collapsed="false">
      <c r="A29" s="7" t="s">
        <v>59</v>
      </c>
      <c r="B29" s="7" t="s">
        <v>34</v>
      </c>
      <c r="C29" s="8" t="n">
        <v>1.53</v>
      </c>
      <c r="D29" s="8" t="n">
        <v>1.24</v>
      </c>
      <c r="E29" s="8" t="n">
        <v>0.12</v>
      </c>
      <c r="F29" s="8" t="n">
        <v>10.06</v>
      </c>
      <c r="G29" s="9" t="n">
        <f aca="false">D29-E29</f>
        <v>1.12</v>
      </c>
      <c r="H29" s="10" t="n">
        <v>1939</v>
      </c>
      <c r="I29" s="11" t="n">
        <v>0</v>
      </c>
      <c r="J29" s="8" t="s">
        <v>49</v>
      </c>
      <c r="K29" s="11" t="n">
        <v>9.4</v>
      </c>
      <c r="L29" s="10" t="n">
        <v>24702</v>
      </c>
      <c r="M29" s="8" t="n">
        <v>2.81</v>
      </c>
      <c r="N29" s="8" t="n">
        <v>15.99</v>
      </c>
    </row>
    <row r="30" customFormat="false" ht="15" hidden="false" customHeight="false" outlineLevel="0" collapsed="false">
      <c r="A30" s="7" t="s">
        <v>60</v>
      </c>
      <c r="B30" s="7" t="s">
        <v>32</v>
      </c>
      <c r="C30" s="8" t="n">
        <v>73.39</v>
      </c>
      <c r="D30" s="8" t="n">
        <v>66.97</v>
      </c>
      <c r="E30" s="8" t="n">
        <v>46.89</v>
      </c>
      <c r="F30" s="8" t="n">
        <v>70</v>
      </c>
      <c r="G30" s="9" t="n">
        <f aca="false">D30-E30</f>
        <v>20.08</v>
      </c>
      <c r="H30" s="10" t="n">
        <v>164786</v>
      </c>
      <c r="I30" s="11" t="n">
        <v>0.2</v>
      </c>
      <c r="J30" s="8" t="n">
        <v>8.91</v>
      </c>
      <c r="K30" s="11" t="n">
        <v>14.6</v>
      </c>
      <c r="L30" s="10" t="n">
        <v>21940</v>
      </c>
      <c r="M30" s="8" t="n">
        <v>2.62</v>
      </c>
      <c r="N30" s="8" t="n">
        <v>42.24</v>
      </c>
    </row>
    <row r="31" customFormat="false" ht="15" hidden="false" customHeight="false" outlineLevel="0" collapsed="false">
      <c r="A31" s="7" t="s">
        <v>61</v>
      </c>
      <c r="B31" s="7" t="s">
        <v>32</v>
      </c>
      <c r="C31" s="8" t="n">
        <v>2.13</v>
      </c>
      <c r="D31" s="8" t="n">
        <v>1.95</v>
      </c>
      <c r="E31" s="8" t="n">
        <v>1.05</v>
      </c>
      <c r="F31" s="8" t="n">
        <v>53.92</v>
      </c>
      <c r="G31" s="9" t="n">
        <f aca="false">D31-E31</f>
        <v>0.9</v>
      </c>
      <c r="H31" s="10" t="n">
        <v>16727</v>
      </c>
      <c r="I31" s="11" t="n">
        <v>0.3</v>
      </c>
      <c r="J31" s="8" t="n">
        <v>9.95</v>
      </c>
      <c r="K31" s="11" t="n">
        <v>18</v>
      </c>
      <c r="L31" s="10" t="n">
        <v>20912</v>
      </c>
      <c r="M31" s="8" t="n">
        <v>3.38</v>
      </c>
      <c r="N31" s="8" t="n">
        <v>18.16</v>
      </c>
    </row>
    <row r="32" customFormat="false" ht="15" hidden="false" customHeight="false" outlineLevel="0" collapsed="false">
      <c r="A32" s="7" t="s">
        <v>62</v>
      </c>
      <c r="B32" s="7" t="s">
        <v>32</v>
      </c>
      <c r="C32" s="8" t="n">
        <v>25.85</v>
      </c>
      <c r="D32" s="8" t="n">
        <v>23.5</v>
      </c>
      <c r="E32" s="8" t="n">
        <v>10.62</v>
      </c>
      <c r="F32" s="8" t="n">
        <v>45.19</v>
      </c>
      <c r="G32" s="9" t="n">
        <f aca="false">D32-E32</f>
        <v>12.88</v>
      </c>
      <c r="H32" s="10" t="n">
        <v>71085</v>
      </c>
      <c r="I32" s="11" t="n">
        <v>0.1</v>
      </c>
      <c r="J32" s="8" t="n">
        <v>9.04</v>
      </c>
      <c r="K32" s="11" t="n">
        <v>10.9</v>
      </c>
      <c r="L32" s="10" t="n">
        <v>19019</v>
      </c>
      <c r="M32" s="8" t="n">
        <v>4.31</v>
      </c>
      <c r="N32" s="8" t="n">
        <v>51.78</v>
      </c>
    </row>
    <row r="33" customFormat="false" ht="15" hidden="false" customHeight="false" outlineLevel="0" collapsed="false">
      <c r="A33" s="7" t="s">
        <v>63</v>
      </c>
      <c r="B33" s="7" t="s">
        <v>34</v>
      </c>
      <c r="C33" s="8" t="n">
        <v>0.38</v>
      </c>
      <c r="D33" s="8" t="n">
        <v>0.35</v>
      </c>
      <c r="E33" s="8" t="n">
        <v>0.01</v>
      </c>
      <c r="F33" s="8" t="n">
        <v>2.27</v>
      </c>
      <c r="G33" s="9" t="n">
        <f aca="false">D33-E33</f>
        <v>0.34</v>
      </c>
      <c r="H33" s="10" t="n">
        <v>413</v>
      </c>
      <c r="I33" s="11" t="n">
        <v>2.9</v>
      </c>
      <c r="J33" s="8" t="n">
        <v>13.14</v>
      </c>
      <c r="K33" s="11" t="n">
        <v>14.6</v>
      </c>
      <c r="L33" s="10" t="n">
        <v>33787</v>
      </c>
      <c r="M33" s="8" t="n">
        <v>3.15</v>
      </c>
      <c r="N33" s="8" t="n">
        <v>13.23</v>
      </c>
    </row>
    <row r="34" customFormat="false" ht="15" hidden="false" customHeight="false" outlineLevel="0" collapsed="false">
      <c r="A34" s="7" t="s">
        <v>64</v>
      </c>
      <c r="B34" s="7" t="s">
        <v>34</v>
      </c>
      <c r="C34" s="8" t="n">
        <v>0.05</v>
      </c>
      <c r="D34" s="8" t="n">
        <v>0.05</v>
      </c>
      <c r="E34" s="8" t="n">
        <v>0.03</v>
      </c>
      <c r="F34" s="8" t="n">
        <v>67</v>
      </c>
      <c r="G34" s="9" t="n">
        <f aca="false">D34-E34</f>
        <v>0.02</v>
      </c>
      <c r="H34" s="10" t="n">
        <v>1952</v>
      </c>
      <c r="I34" s="11" t="n">
        <v>0</v>
      </c>
      <c r="J34" s="8" t="n">
        <v>4.98</v>
      </c>
      <c r="K34" s="11" t="n">
        <v>30</v>
      </c>
      <c r="L34" s="10" t="n">
        <v>29211</v>
      </c>
      <c r="M34" s="8" t="n">
        <v>1.5</v>
      </c>
      <c r="N34" s="8" t="n">
        <v>10.94</v>
      </c>
    </row>
    <row r="35" customFormat="false" ht="15" hidden="false" customHeight="false" outlineLevel="0" collapsed="false">
      <c r="A35" s="7" t="s">
        <v>65</v>
      </c>
      <c r="B35" s="7" t="s">
        <v>32</v>
      </c>
      <c r="C35" s="8" t="n">
        <v>0.13</v>
      </c>
      <c r="D35" s="8" t="n">
        <v>0.12</v>
      </c>
      <c r="E35" s="8" t="n">
        <v>0.05</v>
      </c>
      <c r="F35" s="8" t="n">
        <v>40.45</v>
      </c>
      <c r="G35" s="9" t="n">
        <f aca="false">D35-E35</f>
        <v>0.07</v>
      </c>
      <c r="H35" s="10" t="n">
        <v>10852</v>
      </c>
      <c r="I35" s="11" t="n">
        <v>0</v>
      </c>
      <c r="J35" s="8" t="n">
        <v>6.29</v>
      </c>
      <c r="K35" s="11" t="n">
        <v>12.6</v>
      </c>
      <c r="L35" s="10" t="n">
        <v>18789</v>
      </c>
      <c r="M35" s="8" t="n">
        <v>2.005</v>
      </c>
      <c r="N35" s="8" t="n">
        <v>10.055</v>
      </c>
    </row>
    <row r="36" customFormat="false" ht="15" hidden="false" customHeight="false" outlineLevel="0" collapsed="false">
      <c r="A36" s="7" t="s">
        <v>66</v>
      </c>
      <c r="B36" s="7" t="s">
        <v>41</v>
      </c>
      <c r="C36" s="8" t="n">
        <v>0.38</v>
      </c>
      <c r="D36" s="8" t="n">
        <v>0.35</v>
      </c>
      <c r="E36" s="8" t="n">
        <v>0.32</v>
      </c>
      <c r="F36" s="8" t="n">
        <v>92.1</v>
      </c>
      <c r="G36" s="9" t="n">
        <f aca="false">D36-E36</f>
        <v>0.03</v>
      </c>
      <c r="H36" s="10" t="n">
        <v>38243</v>
      </c>
      <c r="I36" s="11" t="n">
        <v>0</v>
      </c>
      <c r="J36" s="8" t="n">
        <v>9.33</v>
      </c>
      <c r="K36" s="11" t="n">
        <v>27.8</v>
      </c>
      <c r="L36" s="10" t="n">
        <v>30674</v>
      </c>
      <c r="M36" s="8" t="n">
        <v>1.85</v>
      </c>
      <c r="N36" s="8" t="n">
        <v>14.43</v>
      </c>
    </row>
    <row r="37" customFormat="false" ht="15" hidden="false" customHeight="false" outlineLevel="0" collapsed="false">
      <c r="A37" s="7" t="s">
        <v>67</v>
      </c>
      <c r="B37" s="7" t="s">
        <v>32</v>
      </c>
      <c r="C37" s="8" t="n">
        <v>2.3</v>
      </c>
      <c r="D37" s="8" t="n">
        <v>2.07</v>
      </c>
      <c r="E37" s="8" t="n">
        <v>0.51</v>
      </c>
      <c r="F37" s="8" t="n">
        <v>24.73</v>
      </c>
      <c r="G37" s="9" t="n">
        <f aca="false">D37-E37</f>
        <v>1.56</v>
      </c>
      <c r="H37" s="10" t="n">
        <v>20283</v>
      </c>
      <c r="I37" s="11" t="n">
        <v>0.4</v>
      </c>
      <c r="J37" s="8" t="n">
        <v>5.18</v>
      </c>
      <c r="K37" s="11" t="n">
        <v>14.1</v>
      </c>
      <c r="L37" s="10" t="n">
        <v>29088</v>
      </c>
      <c r="M37" s="8" t="n">
        <v>2.26</v>
      </c>
      <c r="N37" s="8" t="n">
        <v>14.56</v>
      </c>
    </row>
    <row r="38" customFormat="false" ht="15" hidden="false" customHeight="false" outlineLevel="0" collapsed="false">
      <c r="A38" s="7" t="s">
        <v>68</v>
      </c>
      <c r="B38" s="7" t="s">
        <v>34</v>
      </c>
      <c r="C38" s="8" t="n">
        <v>0.07</v>
      </c>
      <c r="D38" s="8" t="n">
        <v>0.06</v>
      </c>
      <c r="E38" s="8" t="n">
        <v>0.02</v>
      </c>
      <c r="F38" s="8" t="n">
        <v>30.93</v>
      </c>
      <c r="G38" s="9" t="n">
        <f aca="false">D38-E38</f>
        <v>0.04</v>
      </c>
      <c r="H38" s="10" t="s">
        <v>49</v>
      </c>
      <c r="I38" s="11" t="s">
        <v>49</v>
      </c>
      <c r="J38" s="8" t="n">
        <v>5.95</v>
      </c>
      <c r="K38" s="11" t="n">
        <v>13.6</v>
      </c>
      <c r="L38" s="10" t="n">
        <v>32971</v>
      </c>
      <c r="M38" s="8" t="n">
        <v>2.26</v>
      </c>
      <c r="N38" s="8" t="n">
        <v>14.56</v>
      </c>
    </row>
    <row r="39" customFormat="false" ht="15" hidden="false" customHeight="false" outlineLevel="0" collapsed="false">
      <c r="A39" s="7" t="s">
        <v>69</v>
      </c>
      <c r="B39" s="7" t="s">
        <v>34</v>
      </c>
      <c r="C39" s="8" t="n">
        <v>0.01</v>
      </c>
      <c r="D39" s="8" t="n">
        <v>0.01</v>
      </c>
      <c r="E39" s="8" t="n">
        <v>0</v>
      </c>
      <c r="F39" s="8" t="n">
        <v>57.79</v>
      </c>
      <c r="G39" s="9" t="n">
        <f aca="false">D39-E39</f>
        <v>0.01</v>
      </c>
      <c r="H39" s="10" t="n">
        <v>68</v>
      </c>
      <c r="I39" s="11" t="n">
        <v>0</v>
      </c>
      <c r="J39" s="8" t="s">
        <v>49</v>
      </c>
      <c r="K39" s="11" t="n">
        <v>17.6</v>
      </c>
      <c r="L39" s="10" t="n">
        <v>31121</v>
      </c>
      <c r="M39" s="8" t="n">
        <v>1.58</v>
      </c>
      <c r="N39" s="8" t="n">
        <v>9.72</v>
      </c>
    </row>
    <row r="40" customFormat="false" ht="15" hidden="false" customHeight="false" outlineLevel="0" collapsed="false">
      <c r="A40" s="7" t="s">
        <v>70</v>
      </c>
      <c r="B40" s="7" t="s">
        <v>34</v>
      </c>
      <c r="C40" s="8" t="n">
        <v>0.19</v>
      </c>
      <c r="D40" s="8" t="n">
        <v>0.17</v>
      </c>
      <c r="E40" s="8" t="n">
        <v>0.13</v>
      </c>
      <c r="F40" s="8" t="n">
        <v>75.98</v>
      </c>
      <c r="G40" s="9" t="n">
        <f aca="false">D40-E40</f>
        <v>0.04</v>
      </c>
      <c r="H40" s="10" t="n">
        <v>3549</v>
      </c>
      <c r="I40" s="11" t="n">
        <v>0</v>
      </c>
      <c r="J40" s="8" t="n">
        <v>7.88</v>
      </c>
      <c r="K40" s="11" t="n">
        <v>34.4</v>
      </c>
      <c r="L40" s="10" t="n">
        <v>31652</v>
      </c>
      <c r="M40" s="8" t="n">
        <v>1.99</v>
      </c>
      <c r="N40" s="8" t="n">
        <v>10.41</v>
      </c>
    </row>
    <row r="42" customFormat="false" ht="15" hidden="false" customHeight="false" outlineLevel="0" collapsed="false">
      <c r="A42" s="5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4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4" t="s">
        <v>72</v>
      </c>
    </row>
    <row r="3" customFormat="false" ht="57.75" hidden="false" customHeight="true" outlineLevel="0" collapsed="false">
      <c r="A3" s="6" t="s">
        <v>73</v>
      </c>
      <c r="B3" s="6" t="s">
        <v>74</v>
      </c>
      <c r="C3" s="6" t="s">
        <v>75</v>
      </c>
      <c r="D3" s="6" t="s">
        <v>76</v>
      </c>
      <c r="E3" s="6" t="s">
        <v>77</v>
      </c>
      <c r="F3" s="6" t="s">
        <v>78</v>
      </c>
      <c r="G3" s="6" t="s">
        <v>79</v>
      </c>
      <c r="H3" s="6" t="s">
        <v>80</v>
      </c>
      <c r="I3" s="6" t="s">
        <v>81</v>
      </c>
    </row>
    <row r="4" customFormat="false" ht="15" hidden="false" customHeight="false" outlineLevel="0" collapsed="false">
      <c r="A4" s="12" t="s">
        <v>82</v>
      </c>
      <c r="B4" s="13" t="n">
        <v>0.2176</v>
      </c>
      <c r="C4" s="13" t="n">
        <v>0.1974</v>
      </c>
      <c r="D4" s="13" t="n">
        <v>0.0813</v>
      </c>
      <c r="E4" s="13" t="n">
        <v>0.1196</v>
      </c>
      <c r="F4" s="13" t="n">
        <v>0.0752</v>
      </c>
      <c r="G4" s="13" t="n">
        <v>0.2056</v>
      </c>
      <c r="H4" s="13" t="n">
        <v>0.1032</v>
      </c>
      <c r="I4" s="14" t="n">
        <f aca="false">SUM(B4:H4)</f>
        <v>0.9999</v>
      </c>
    </row>
    <row r="5" customFormat="false" ht="15" hidden="false" customHeight="false" outlineLevel="0" collapsed="false">
      <c r="A5" s="12" t="s">
        <v>83</v>
      </c>
      <c r="B5" s="13" t="n">
        <v>0.1429</v>
      </c>
      <c r="C5" s="13" t="n">
        <v>0.1429</v>
      </c>
      <c r="D5" s="13" t="n">
        <v>0.1429</v>
      </c>
      <c r="E5" s="13" t="n">
        <v>0.1429</v>
      </c>
      <c r="F5" s="13" t="n">
        <v>0.1429</v>
      </c>
      <c r="G5" s="13" t="n">
        <v>0.1429</v>
      </c>
      <c r="H5" s="13" t="n">
        <v>0.1429</v>
      </c>
      <c r="I5" s="14" t="n">
        <f aca="false">SUM(B5:H5)</f>
        <v>1.0003</v>
      </c>
    </row>
    <row r="6" customFormat="false" ht="15" hidden="false" customHeight="false" outlineLevel="0" collapsed="false">
      <c r="A6" s="12" t="s">
        <v>84</v>
      </c>
      <c r="B6" s="13" t="n">
        <v>0.125</v>
      </c>
      <c r="C6" s="13" t="n">
        <v>0.125</v>
      </c>
      <c r="D6" s="13" t="n">
        <v>0.125</v>
      </c>
      <c r="E6" s="13" t="n">
        <v>0.125</v>
      </c>
      <c r="F6" s="13" t="n">
        <v>0.125</v>
      </c>
      <c r="G6" s="13" t="n">
        <v>0.125</v>
      </c>
      <c r="H6" s="13" t="n">
        <v>0.25</v>
      </c>
      <c r="I6" s="14" t="n">
        <f aca="false">SUM(B6:H6)</f>
        <v>1</v>
      </c>
    </row>
    <row r="7" customFormat="false" ht="15" hidden="false" customHeight="false" outlineLevel="0" collapsed="false">
      <c r="A7" s="12" t="s">
        <v>85</v>
      </c>
      <c r="B7" s="15" t="n">
        <v>0.2</v>
      </c>
      <c r="C7" s="15" t="n">
        <v>0.15</v>
      </c>
      <c r="D7" s="15" t="n">
        <v>0.15</v>
      </c>
      <c r="E7" s="15" t="n">
        <v>0.1</v>
      </c>
      <c r="F7" s="15" t="n">
        <v>0.15</v>
      </c>
      <c r="G7" s="15" t="n">
        <v>0.1</v>
      </c>
      <c r="H7" s="15" t="n">
        <v>0.15</v>
      </c>
      <c r="I7" s="14" t="n">
        <f aca="false">SUM(B7:H7)</f>
        <v>1</v>
      </c>
    </row>
    <row r="9" customFormat="false" ht="15" hidden="false" customHeight="false" outlineLevel="0" collapsed="false">
      <c r="A9" s="12" t="s">
        <v>86</v>
      </c>
      <c r="B9" s="16" t="s">
        <v>87</v>
      </c>
      <c r="C9" s="16" t="s">
        <v>88</v>
      </c>
      <c r="D9" s="16" t="s">
        <v>87</v>
      </c>
      <c r="E9" s="16" t="s">
        <v>88</v>
      </c>
      <c r="F9" s="16" t="s">
        <v>88</v>
      </c>
      <c r="G9" s="16" t="s">
        <v>87</v>
      </c>
      <c r="H9" s="16" t="s">
        <v>87</v>
      </c>
    </row>
    <row r="11" customFormat="false" ht="15" hidden="false" customHeight="false" outlineLevel="0" collapsed="false">
      <c r="A11" s="12" t="s">
        <v>89</v>
      </c>
    </row>
    <row r="12" customFormat="false" ht="15" hidden="false" customHeight="false" outlineLevel="0" collapsed="false">
      <c r="A12" s="0" t="s">
        <v>90</v>
      </c>
      <c r="B12" s="17" t="n">
        <v>2.391</v>
      </c>
      <c r="C12" s="17" t="n">
        <v>1.702</v>
      </c>
      <c r="D12" s="17" t="n">
        <v>1.165</v>
      </c>
      <c r="E12" s="17" t="n">
        <v>0.783</v>
      </c>
      <c r="F12" s="17" t="n">
        <v>0.677</v>
      </c>
      <c r="G12" s="17" t="n">
        <v>0.205</v>
      </c>
      <c r="H12" s="17" t="n">
        <v>0.078</v>
      </c>
    </row>
    <row r="13" customFormat="false" ht="15" hidden="false" customHeight="false" outlineLevel="0" collapsed="false">
      <c r="A13" s="0" t="s">
        <v>91</v>
      </c>
      <c r="B13" s="18" t="n">
        <f aca="false">B12/SUM($B$12:$H$12)</f>
        <v>0.341522639622911</v>
      </c>
      <c r="C13" s="18" t="n">
        <f aca="false">C12/SUM($B$12:$H$12)</f>
        <v>0.24310812741037</v>
      </c>
      <c r="D13" s="18" t="n">
        <f aca="false">D12/SUM($B$12:$H$12)</f>
        <v>0.166404799314384</v>
      </c>
      <c r="E13" s="18" t="n">
        <f aca="false">E12/SUM($B$12:$H$12)</f>
        <v>0.111841165547779</v>
      </c>
      <c r="F13" s="18" t="n">
        <f aca="false">F12/SUM($B$12:$H$12)</f>
        <v>0.0967004713612341</v>
      </c>
      <c r="G13" s="18" t="n">
        <f aca="false">G12/SUM($B$12:$H$12)</f>
        <v>0.0292815312098272</v>
      </c>
      <c r="H13" s="18" t="n">
        <f aca="false">H12/SUM($B$12:$H$12)</f>
        <v>0.0111412655334952</v>
      </c>
    </row>
    <row r="15" customFormat="false" ht="15" hidden="false" customHeight="false" outlineLevel="0" collapsed="false">
      <c r="A15" s="12" t="s">
        <v>92</v>
      </c>
      <c r="B15" s="12" t="s">
        <v>93</v>
      </c>
      <c r="C15" s="12" t="s">
        <v>94</v>
      </c>
      <c r="D15" s="12" t="s">
        <v>95</v>
      </c>
    </row>
    <row r="16" customFormat="false" ht="15" hidden="false" customHeight="false" outlineLevel="0" collapsed="false">
      <c r="A16" s="16" t="s">
        <v>74</v>
      </c>
      <c r="B16" s="17" t="n">
        <v>-0.043</v>
      </c>
      <c r="C16" s="17" t="n">
        <v>0.953</v>
      </c>
      <c r="D16" s="17" t="n">
        <v>0.131</v>
      </c>
    </row>
    <row r="17" customFormat="false" ht="15" hidden="false" customHeight="false" outlineLevel="0" collapsed="false">
      <c r="A17" s="16" t="s">
        <v>75</v>
      </c>
      <c r="B17" s="17" t="n">
        <v>0.908</v>
      </c>
      <c r="C17" s="17" t="n">
        <v>0.01</v>
      </c>
      <c r="D17" s="17" t="n">
        <v>-0.135</v>
      </c>
    </row>
    <row r="18" customFormat="false" ht="15" hidden="false" customHeight="false" outlineLevel="0" collapsed="false">
      <c r="A18" s="16" t="s">
        <v>76</v>
      </c>
      <c r="B18" s="17" t="n">
        <v>-0.582</v>
      </c>
      <c r="C18" s="17" t="n">
        <v>0.247</v>
      </c>
      <c r="D18" s="17" t="n">
        <v>-0.345</v>
      </c>
    </row>
    <row r="19" customFormat="false" ht="15" hidden="false" customHeight="false" outlineLevel="0" collapsed="false">
      <c r="A19" s="16" t="s">
        <v>77</v>
      </c>
      <c r="B19" s="17" t="n">
        <v>0.578</v>
      </c>
      <c r="C19" s="17" t="n">
        <v>-0.707</v>
      </c>
      <c r="D19" s="17" t="n">
        <v>0</v>
      </c>
    </row>
    <row r="20" customFormat="false" ht="15" hidden="false" customHeight="false" outlineLevel="0" collapsed="false">
      <c r="A20" s="16" t="s">
        <v>78</v>
      </c>
      <c r="B20" s="17" t="n">
        <v>-0.311</v>
      </c>
      <c r="C20" s="17" t="n">
        <v>-0.645</v>
      </c>
      <c r="D20" s="17" t="n">
        <v>0.56</v>
      </c>
    </row>
    <row r="21" customFormat="false" ht="15" hidden="false" customHeight="false" outlineLevel="0" collapsed="false">
      <c r="A21" s="16" t="s">
        <v>79</v>
      </c>
      <c r="B21" s="17" t="n">
        <v>0.015</v>
      </c>
      <c r="C21" s="17" t="n">
        <v>-0.123</v>
      </c>
      <c r="D21" s="17" t="n">
        <v>-0.926</v>
      </c>
    </row>
    <row r="22" customFormat="false" ht="15" hidden="false" customHeight="false" outlineLevel="0" collapsed="false">
      <c r="A22" s="16" t="s">
        <v>80</v>
      </c>
      <c r="B22" s="17" t="n">
        <v>-0.656</v>
      </c>
      <c r="C22" s="17" t="n">
        <v>0.053</v>
      </c>
      <c r="D22" s="17" t="n">
        <v>0.03</v>
      </c>
    </row>
    <row r="24" customFormat="false" ht="15" hidden="false" customHeight="false" outlineLevel="0" collapsed="false">
      <c r="A24" s="5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9" min="2" style="0" width="11"/>
    <col collapsed="false" customWidth="true" hidden="false" outlineLevel="0" max="17" min="10" style="0" width="9"/>
    <col collapsed="false" customWidth="true" hidden="false" outlineLevel="0" max="18" min="18" style="0" width="10"/>
    <col collapsed="false" customWidth="true" hidden="false" outlineLevel="0" max="19" min="19" style="0" width="6"/>
    <col collapsed="false" customWidth="true" hidden="false" outlineLevel="0" max="20" min="20" style="0" width="10"/>
    <col collapsed="false" customWidth="true" hidden="false" outlineLevel="0" max="21" min="21" style="0" width="6"/>
    <col collapsed="false" customWidth="true" hidden="false" outlineLevel="0" max="22" min="22" style="0" width="10"/>
    <col collapsed="false" customWidth="true" hidden="false" outlineLevel="0" max="23" min="23" style="0" width="6"/>
    <col collapsed="false" customWidth="true" hidden="false" outlineLevel="0" max="24" min="24" style="0" width="10"/>
    <col collapsed="false" customWidth="true" hidden="false" outlineLevel="0" max="25" min="25" style="0" width="6"/>
    <col collapsed="false" customWidth="true" hidden="false" outlineLevel="0" max="26" min="26" style="0" width="9"/>
    <col collapsed="false" customWidth="true" hidden="false" outlineLevel="0" max="27" min="27" style="0" width="10"/>
    <col collapsed="false" customWidth="true" hidden="false" outlineLevel="0" max="28" min="28" style="0" width="6"/>
  </cols>
  <sheetData>
    <row r="1" customFormat="false" ht="17.35" hidden="false" customHeight="false" outlineLevel="0" collapsed="false">
      <c r="A1" s="4" t="s">
        <v>97</v>
      </c>
    </row>
    <row r="2" customFormat="false" ht="15" hidden="false" customHeight="false" outlineLevel="0" collapsed="false">
      <c r="A2" s="5" t="s">
        <v>98</v>
      </c>
    </row>
    <row r="4" customFormat="false" ht="57.75" hidden="false" customHeight="true" outlineLevel="0" collapsed="false">
      <c r="A4" s="6" t="s">
        <v>99</v>
      </c>
      <c r="B4" s="6" t="s">
        <v>22</v>
      </c>
      <c r="C4" s="6" t="s">
        <v>23</v>
      </c>
      <c r="D4" s="6" t="s">
        <v>100</v>
      </c>
      <c r="E4" s="6" t="s">
        <v>101</v>
      </c>
      <c r="F4" s="6" t="s">
        <v>102</v>
      </c>
      <c r="G4" s="6" t="s">
        <v>103</v>
      </c>
      <c r="H4" s="6" t="s">
        <v>104</v>
      </c>
      <c r="I4" s="6" t="s">
        <v>105</v>
      </c>
      <c r="J4" s="6" t="s">
        <v>106</v>
      </c>
      <c r="K4" s="6" t="s">
        <v>107</v>
      </c>
      <c r="L4" s="6" t="s">
        <v>108</v>
      </c>
      <c r="M4" s="6" t="s">
        <v>109</v>
      </c>
      <c r="N4" s="6" t="s">
        <v>110</v>
      </c>
      <c r="O4" s="6" t="s">
        <v>111</v>
      </c>
      <c r="P4" s="6" t="s">
        <v>112</v>
      </c>
      <c r="Q4" s="6" t="s">
        <v>113</v>
      </c>
      <c r="R4" s="6" t="s">
        <v>114</v>
      </c>
      <c r="S4" s="6" t="s">
        <v>115</v>
      </c>
      <c r="T4" s="6" t="s">
        <v>116</v>
      </c>
      <c r="U4" s="6" t="s">
        <v>115</v>
      </c>
      <c r="V4" s="6" t="s">
        <v>117</v>
      </c>
      <c r="W4" s="6" t="s">
        <v>115</v>
      </c>
      <c r="X4" s="6" t="s">
        <v>118</v>
      </c>
      <c r="Y4" s="6" t="s">
        <v>115</v>
      </c>
      <c r="Z4" s="6" t="s">
        <v>119</v>
      </c>
      <c r="AA4" s="6" t="s">
        <v>120</v>
      </c>
      <c r="AB4" s="6" t="s">
        <v>115</v>
      </c>
    </row>
    <row r="5" customFormat="false" ht="15" hidden="false" customHeight="false" outlineLevel="0" collapsed="false">
      <c r="A5" s="7" t="s">
        <v>31</v>
      </c>
      <c r="B5" s="19" t="n">
        <f aca="false">INDEX(Data_All!$F$5:$F$40,MATCH($A5,Data_All!$A$5:$A$40,0))</f>
        <v>31.51</v>
      </c>
      <c r="C5" s="20" t="n">
        <f aca="false">INDEX(Data_All!$G$5:$G$40,MATCH($A5,Data_All!$A$5:$A$40,0))</f>
        <v>17.14</v>
      </c>
      <c r="D5" s="19" t="n">
        <f aca="false">INDEX(Data_All!$J$5:$J$40,MATCH($A5,Data_All!$A$5:$A$40,0))</f>
        <v>7.36</v>
      </c>
      <c r="E5" s="21" t="n">
        <f aca="false">INDEX(Data_All!$H$5:$H$40,MATCH($A5,Data_All!$A$5:$A$40,0))</f>
        <v>79025</v>
      </c>
      <c r="F5" s="22" t="n">
        <f aca="false">INDEX(Data_All!$K$5:$K$40,MATCH($A5,Data_All!$A$5:$A$40,0))</f>
        <v>14.8</v>
      </c>
      <c r="G5" s="21" t="n">
        <f aca="false">INDEX(Data_All!$L$5:$L$40,MATCH($A5,Data_All!$A$5:$A$40,0))</f>
        <v>25574</v>
      </c>
      <c r="H5" s="19" t="n">
        <f aca="false">INDEX(Data_All!$M$5:$M$40,MATCH($A5,Data_All!$A$5:$A$40,0))</f>
        <v>4.25</v>
      </c>
      <c r="I5" s="19" t="n">
        <f aca="false">INDEX(Data_All!$N$5:$N$40,MATCH($A5,Data_All!$A$5:$A$40,0))</f>
        <v>27.58</v>
      </c>
      <c r="J5" s="23" t="n">
        <f aca="false">(MAX($B$5:$B$23)-B5)/(MAX($B$5:$B$23)-MIN($B$5:$B$23))</f>
        <v>0.711092294665538</v>
      </c>
      <c r="K5" s="23" t="n">
        <f aca="false">(C5-MIN($C$5:$C$23))/(MAX($C$5:$C$23)-MIN($C$5:$C$23))</f>
        <v>0.853073463268366</v>
      </c>
      <c r="L5" s="23" t="n">
        <f aca="false">(MAX($D$5:$D$23)-D5)/(MAX($D$5:$D$23)-MIN($D$5:$D$23))</f>
        <v>0.7275</v>
      </c>
      <c r="M5" s="23" t="n">
        <f aca="false">(LN(E5)-LN(MIN($E$5:$E$23)))/(LN(MAX($E$5:$E$23))-LN(MIN($E$5:$E$23)))</f>
        <v>0.679305074044276</v>
      </c>
      <c r="N5" s="23" t="n">
        <f aca="false">(F5-MIN($F$5:$F$23))/(MAX($F$5:$F$23)-MIN($F$5:$F$23))</f>
        <v>0.381818181818182</v>
      </c>
      <c r="O5" s="23" t="n">
        <f aca="false">(MAX($G$5:$G$23)-G5)/(MAX($G$5:$G$23)-MIN($G$5:$G$23))</f>
        <v>0.420283663704716</v>
      </c>
      <c r="P5" s="23" t="n">
        <f aca="false">(MAX($H$5:$H$23)-H5)/(MAX($H$5:$H$23)-MIN($H$5:$H$23))</f>
        <v>0.0259740259740258</v>
      </c>
      <c r="Q5" s="23" t="n">
        <f aca="false">(MAX($I$5:$I$23)-I5)/(MAX($I$5:$I$23)-MIN($I$5:$I$23))</f>
        <v>0.607897975165007</v>
      </c>
      <c r="R5" s="24" t="n">
        <f aca="false">100*SUMPRODUCT(J5:P5,Weights!$B$4:$H$4)</f>
        <v>58.1324589835028</v>
      </c>
      <c r="S5" s="7" t="n">
        <f aca="false">RANK(R5,$R$5:$R$23,0)</f>
        <v>2</v>
      </c>
      <c r="T5" s="24" t="n">
        <f aca="false">100*SUMPRODUCT(J5:P5,Weights!$B$5:$H$5)</f>
        <v>54.2883773926592</v>
      </c>
      <c r="U5" s="7" t="n">
        <f aca="false">RANK(T5,$T$5:$T$23,0)</f>
        <v>5</v>
      </c>
      <c r="V5" s="24" t="n">
        <f aca="false">100*SUMPRODUCT(J5:P5,Weights!$B$6:$H$6)</f>
        <v>47.8127591181141</v>
      </c>
      <c r="W5" s="7" t="n">
        <f aca="false">RANK(V5,$V$5:$V$23,0)</f>
        <v>11</v>
      </c>
      <c r="X5" s="24" t="n">
        <f aca="false">100*(SUMPRODUCT(J5:O5,Weights!$B$4:$G$4)+Q5*Weights!$H$4)</f>
        <v>64.1379141391538</v>
      </c>
      <c r="Y5" s="7" t="n">
        <f aca="false">RANK(X5,$X$5:$X$23,0)</f>
        <v>1</v>
      </c>
      <c r="Z5" s="25" t="n">
        <f aca="false">(S5&lt;=8)+(U5&lt;=8)+(W5&lt;=8)+(Y5&lt;=8)</f>
        <v>3</v>
      </c>
      <c r="AA5" s="24" t="n">
        <f aca="false">100*SUMPRODUCT(J5:P5,Weights!$B$7:$H$7)</f>
        <v>55.0432183367093</v>
      </c>
      <c r="AB5" s="7" t="n">
        <f aca="false">RANK(AA5,$AA$5:$AA$23,0)</f>
        <v>3</v>
      </c>
    </row>
    <row r="6" customFormat="false" ht="15" hidden="false" customHeight="false" outlineLevel="0" collapsed="false">
      <c r="A6" s="7" t="s">
        <v>35</v>
      </c>
      <c r="B6" s="19" t="n">
        <f aca="false">INDEX(Data_All!$F$5:$F$40,MATCH($A6,Data_All!$A$5:$A$40,0))</f>
        <v>14.45</v>
      </c>
      <c r="C6" s="20" t="n">
        <f aca="false">INDEX(Data_All!$G$5:$G$40,MATCH($A6,Data_All!$A$5:$A$40,0))</f>
        <v>17.36</v>
      </c>
      <c r="D6" s="19" t="n">
        <f aca="false">INDEX(Data_All!$J$5:$J$40,MATCH($A6,Data_All!$A$5:$A$40,0))</f>
        <v>8.97</v>
      </c>
      <c r="E6" s="21" t="n">
        <f aca="false">INDEX(Data_All!$H$5:$H$40,MATCH($A6,Data_All!$A$5:$A$40,0))</f>
        <v>12837</v>
      </c>
      <c r="F6" s="22" t="n">
        <f aca="false">INDEX(Data_All!$K$5:$K$40,MATCH($A6,Data_All!$A$5:$A$40,0))</f>
        <v>8.5</v>
      </c>
      <c r="G6" s="21" t="n">
        <f aca="false">INDEX(Data_All!$L$5:$L$40,MATCH($A6,Data_All!$A$5:$A$40,0))</f>
        <v>27299</v>
      </c>
      <c r="H6" s="19" t="n">
        <f aca="false">INDEX(Data_All!$M$5:$M$40,MATCH($A6,Data_All!$A$5:$A$40,0))</f>
        <v>3.03</v>
      </c>
      <c r="I6" s="19" t="n">
        <f aca="false">INDEX(Data_All!$N$5:$N$40,MATCH($A6,Data_All!$A$5:$A$40,0))</f>
        <v>28.75</v>
      </c>
      <c r="J6" s="23" t="n">
        <f aca="false">(MAX($B$5:$B$23)-B6)/(MAX($B$5:$B$23)-MIN($B$5:$B$23))</f>
        <v>1</v>
      </c>
      <c r="K6" s="23" t="n">
        <f aca="false">(C6-MIN($C$5:$C$23))/(MAX($C$5:$C$23)-MIN($C$5:$C$23))</f>
        <v>0.864067966016992</v>
      </c>
      <c r="L6" s="23" t="n">
        <f aca="false">(MAX($D$5:$D$23)-D6)/(MAX($D$5:$D$23)-MIN($D$5:$D$23))</f>
        <v>0.52625</v>
      </c>
      <c r="M6" s="23" t="n">
        <f aca="false">(LN(E6)-LN(MIN($E$5:$E$23)))/(LN(MAX($E$5:$E$23))-LN(MIN($E$5:$E$23)))</f>
        <v>0.0574747294303829</v>
      </c>
      <c r="N6" s="23" t="n">
        <f aca="false">(F6-MIN($F$5:$F$23))/(MAX($F$5:$F$23)-MIN($F$5:$F$23))</f>
        <v>0</v>
      </c>
      <c r="O6" s="23" t="n">
        <f aca="false">(MAX($G$5:$G$23)-G6)/(MAX($G$5:$G$23)-MIN($G$5:$G$23))</f>
        <v>0.272898154477102</v>
      </c>
      <c r="P6" s="23" t="n">
        <f aca="false">(MAX($H$5:$H$23)-H6)/(MAX($H$5:$H$23)-MIN($H$5:$H$23))</f>
        <v>0.554112554112554</v>
      </c>
      <c r="Q6" s="23" t="n">
        <f aca="false">(MAX($I$5:$I$23)-I6)/(MAX($I$5:$I$23)-MIN($I$5:$I$23))</f>
        <v>0.581720550397136</v>
      </c>
      <c r="R6" s="24" t="n">
        <f aca="false">100*SUMPRODUCT(J6:P6,Weights!$B$4:$H$4)</f>
        <v>55.1117395276536</v>
      </c>
      <c r="S6" s="7" t="n">
        <f aca="false">RANK(R6,$R$5:$R$23,0)</f>
        <v>5</v>
      </c>
      <c r="T6" s="24" t="n">
        <f aca="false">100*SUMPRODUCT(J6:P6,Weights!$B$5:$H$5)</f>
        <v>46.7969406436892</v>
      </c>
      <c r="U6" s="7" t="n">
        <f aca="false">RANK(T6,$T$5:$T$23,0)</f>
        <v>12</v>
      </c>
      <c r="V6" s="24" t="n">
        <f aca="false">100*SUMPRODUCT(J6:P6,Weights!$B$6:$H$6)</f>
        <v>47.8614494768698</v>
      </c>
      <c r="W6" s="7" t="n">
        <f aca="false">RANK(V6,$V$5:$V$23,0)</f>
        <v>10</v>
      </c>
      <c r="X6" s="24" t="n">
        <f aca="false">100*(SUMPRODUCT(J6:O6,Weights!$B$4:$G$4)+Q6*Weights!$H$4)</f>
        <v>55.3966540493104</v>
      </c>
      <c r="Y6" s="7" t="n">
        <f aca="false">RANK(X6,$X$5:$X$23,0)</f>
        <v>5</v>
      </c>
      <c r="Z6" s="25" t="n">
        <f aca="false">(S6&lt;=8)+(U6&lt;=8)+(W6&lt;=8)+(Y6&lt;=8)</f>
        <v>2</v>
      </c>
      <c r="AA6" s="24" t="n">
        <f aca="false">100*SUMPRODUCT(J6:P6,Weights!$B$7:$H$7)</f>
        <v>52.470186641018</v>
      </c>
      <c r="AB6" s="7" t="n">
        <f aca="false">RANK(AA6,$AA$5:$AA$23,0)</f>
        <v>7</v>
      </c>
    </row>
    <row r="7" customFormat="false" ht="15" hidden="false" customHeight="false" outlineLevel="0" collapsed="false">
      <c r="A7" s="7" t="s">
        <v>36</v>
      </c>
      <c r="B7" s="19" t="n">
        <f aca="false">INDEX(Data_All!$F$5:$F$40,MATCH($A7,Data_All!$A$5:$A$40,0))</f>
        <v>46.2</v>
      </c>
      <c r="C7" s="20" t="n">
        <f aca="false">INDEX(Data_All!$G$5:$G$40,MATCH($A7,Data_All!$A$5:$A$40,0))</f>
        <v>16.85</v>
      </c>
      <c r="D7" s="19" t="n">
        <f aca="false">INDEX(Data_All!$J$5:$J$40,MATCH($A7,Data_All!$A$5:$A$40,0))</f>
        <v>10.62</v>
      </c>
      <c r="E7" s="21" t="n">
        <f aca="false">INDEX(Data_All!$H$5:$H$40,MATCH($A7,Data_All!$A$5:$A$40,0))</f>
        <v>44217</v>
      </c>
      <c r="F7" s="22" t="n">
        <f aca="false">INDEX(Data_All!$K$5:$K$40,MATCH($A7,Data_All!$A$5:$A$40,0))</f>
        <v>9.7</v>
      </c>
      <c r="G7" s="21" t="n">
        <f aca="false">INDEX(Data_All!$L$5:$L$40,MATCH($A7,Data_All!$A$5:$A$40,0))</f>
        <v>24968</v>
      </c>
      <c r="H7" s="19" t="n">
        <f aca="false">INDEX(Data_All!$M$5:$M$40,MATCH($A7,Data_All!$A$5:$A$40,0))</f>
        <v>3.13</v>
      </c>
      <c r="I7" s="19" t="n">
        <f aca="false">INDEX(Data_All!$N$5:$N$40,MATCH($A7,Data_All!$A$5:$A$40,0))</f>
        <v>24.99</v>
      </c>
      <c r="J7" s="23" t="n">
        <f aca="false">(MAX($B$5:$B$23)-B7)/(MAX($B$5:$B$23)-MIN($B$5:$B$23))</f>
        <v>0.462320067739204</v>
      </c>
      <c r="K7" s="23" t="n">
        <f aca="false">(C7-MIN($C$5:$C$23))/(MAX($C$5:$C$23)-MIN($C$5:$C$23))</f>
        <v>0.838580709645178</v>
      </c>
      <c r="L7" s="23" t="n">
        <f aca="false">(MAX($D$5:$D$23)-D7)/(MAX($D$5:$D$23)-MIN($D$5:$D$23))</f>
        <v>0.32</v>
      </c>
      <c r="M7" s="23" t="n">
        <f aca="false">(LN(E7)-LN(MIN($E$5:$E$23)))/(LN(MAX($E$5:$E$23))-LN(MIN($E$5:$E$23)))</f>
        <v>0.480635342159329</v>
      </c>
      <c r="N7" s="23" t="n">
        <f aca="false">(F7-MIN($F$5:$F$23))/(MAX($F$5:$F$23)-MIN($F$5:$F$23))</f>
        <v>0.0727272727272727</v>
      </c>
      <c r="O7" s="23" t="n">
        <f aca="false">(MAX($G$5:$G$23)-G7)/(MAX($G$5:$G$23)-MIN($G$5:$G$23))</f>
        <v>0.472060833902939</v>
      </c>
      <c r="P7" s="23" t="n">
        <f aca="false">(MAX($H$5:$H$23)-H7)/(MAX($H$5:$H$23)-MIN($H$5:$H$23))</f>
        <v>0.510822510822511</v>
      </c>
      <c r="Q7" s="23" t="n">
        <f aca="false">(MAX($I$5:$I$23)-I7)/(MAX($I$5:$I$23)-MIN($I$5:$I$23))</f>
        <v>0.665846291531491</v>
      </c>
      <c r="R7" s="24" t="n">
        <f aca="false">100*SUMPRODUCT(J7:P7,Weights!$B$4:$H$4)</f>
        <v>50.4878347222683</v>
      </c>
      <c r="S7" s="7" t="n">
        <f aca="false">RANK(R7,$R$5:$R$23,0)</f>
        <v>9</v>
      </c>
      <c r="T7" s="24" t="n">
        <f aca="false">100*SUMPRODUCT(J7:P7,Weights!$B$5:$H$5)</f>
        <v>45.115626871679</v>
      </c>
      <c r="U7" s="7" t="n">
        <f aca="false">RANK(T7,$T$5:$T$23,0)</f>
        <v>13</v>
      </c>
      <c r="V7" s="24" t="n">
        <f aca="false">100*SUMPRODUCT(J7:P7,Weights!$B$6:$H$6)</f>
        <v>45.8496155977368</v>
      </c>
      <c r="W7" s="7" t="n">
        <f aca="false">RANK(V7,$V$5:$V$23,0)</f>
        <v>12</v>
      </c>
      <c r="X7" s="24" t="n">
        <f aca="false">100*(SUMPRODUCT(J7:O7,Weights!$B$4:$G$4)+Q7*Weights!$H$4)</f>
        <v>52.087680139185</v>
      </c>
      <c r="Y7" s="7" t="n">
        <f aca="false">RANK(X7,$X$5:$X$23,0)</f>
        <v>8</v>
      </c>
      <c r="Z7" s="25" t="n">
        <f aca="false">(S7&lt;=8)+(U7&lt;=8)+(W7&lt;=8)+(Y7&lt;=8)</f>
        <v>1</v>
      </c>
      <c r="AA7" s="24" t="n">
        <f aca="false">100*SUMPRODUCT(J7:P7,Weights!$B$7:$H$7)</f>
        <v>44.9053205133312</v>
      </c>
      <c r="AB7" s="7" t="n">
        <f aca="false">RANK(AA7,$AA$5:$AA$23,0)</f>
        <v>14</v>
      </c>
    </row>
    <row r="8" customFormat="false" ht="15" hidden="false" customHeight="false" outlineLevel="0" collapsed="false">
      <c r="A8" s="7" t="s">
        <v>37</v>
      </c>
      <c r="B8" s="19" t="n">
        <f aca="false">INDEX(Data_All!$F$5:$F$40,MATCH($A8,Data_All!$A$5:$A$40,0))</f>
        <v>48.18</v>
      </c>
      <c r="C8" s="20" t="n">
        <f aca="false">INDEX(Data_All!$G$5:$G$40,MATCH($A8,Data_All!$A$5:$A$40,0))</f>
        <v>6.77</v>
      </c>
      <c r="D8" s="19" t="n">
        <f aca="false">INDEX(Data_All!$J$5:$J$40,MATCH($A8,Data_All!$A$5:$A$40,0))</f>
        <v>9.69</v>
      </c>
      <c r="E8" s="21" t="n">
        <f aca="false">INDEX(Data_All!$H$5:$H$40,MATCH($A8,Data_All!$A$5:$A$40,0))</f>
        <v>43180</v>
      </c>
      <c r="F8" s="22" t="n">
        <f aca="false">INDEX(Data_All!$K$5:$K$40,MATCH($A8,Data_All!$A$5:$A$40,0))</f>
        <v>11.9</v>
      </c>
      <c r="G8" s="21" t="n">
        <f aca="false">INDEX(Data_All!$L$5:$L$40,MATCH($A8,Data_All!$A$5:$A$40,0))</f>
        <v>21042</v>
      </c>
      <c r="H8" s="19" t="n">
        <f aca="false">INDEX(Data_All!$M$5:$M$40,MATCH($A8,Data_All!$A$5:$A$40,0))</f>
        <v>2.25</v>
      </c>
      <c r="I8" s="19" t="n">
        <f aca="false">INDEX(Data_All!$N$5:$N$40,MATCH($A8,Data_All!$A$5:$A$40,0))</f>
        <v>14.2</v>
      </c>
      <c r="J8" s="23" t="n">
        <f aca="false">(MAX($B$5:$B$23)-B8)/(MAX($B$5:$B$23)-MIN($B$5:$B$23))</f>
        <v>0.42878916172735</v>
      </c>
      <c r="K8" s="23" t="n">
        <f aca="false">(C8-MIN($C$5:$C$23))/(MAX($C$5:$C$23)-MIN($C$5:$C$23))</f>
        <v>0.334832583708146</v>
      </c>
      <c r="L8" s="23" t="n">
        <f aca="false">(MAX($D$5:$D$23)-D8)/(MAX($D$5:$D$23)-MIN($D$5:$D$23))</f>
        <v>0.43625</v>
      </c>
      <c r="M8" s="23" t="n">
        <f aca="false">(LN(E8)-LN(MIN($E$5:$E$23)))/(LN(MAX($E$5:$E$23))-LN(MIN($E$5:$E$23)))</f>
        <v>0.472515525954959</v>
      </c>
      <c r="N8" s="23" t="n">
        <f aca="false">(F8-MIN($F$5:$F$23))/(MAX($F$5:$F$23)-MIN($F$5:$F$23))</f>
        <v>0.206060606060606</v>
      </c>
      <c r="O8" s="23" t="n">
        <f aca="false">(MAX($G$5:$G$23)-G8)/(MAX($G$5:$G$23)-MIN($G$5:$G$23))</f>
        <v>0.807501708817498</v>
      </c>
      <c r="P8" s="23" t="n">
        <f aca="false">(MAX($H$5:$H$23)-H8)/(MAX($H$5:$H$23)-MIN($H$5:$H$23))</f>
        <v>0.891774891774892</v>
      </c>
      <c r="Q8" s="23" t="n">
        <f aca="false">(MAX($I$5:$I$23)-I8)/(MAX($I$5:$I$23)-MIN($I$5:$I$23))</f>
        <v>0.907260319946303</v>
      </c>
      <c r="R8" s="24" t="n">
        <f aca="false">100*SUMPRODUCT(J8:P8,Weights!$B$4:$H$4)</f>
        <v>52.4929733259877</v>
      </c>
      <c r="S8" s="7" t="n">
        <f aca="false">RANK(R8,$R$5:$R$23,0)</f>
        <v>7</v>
      </c>
      <c r="T8" s="24" t="n">
        <f aca="false">100*SUMPRODUCT(J8:P8,Weights!$B$5:$H$5)</f>
        <v>51.1256827912409</v>
      </c>
      <c r="U8" s="7" t="n">
        <f aca="false">RANK(T8,$T$5:$T$23,0)</f>
        <v>7</v>
      </c>
      <c r="V8" s="24" t="n">
        <f aca="false">100*SUMPRODUCT(J8:P8,Weights!$B$6:$H$6)</f>
        <v>55.8687421227293</v>
      </c>
      <c r="W8" s="7" t="n">
        <f aca="false">RANK(V8,$V$5:$V$23,0)</f>
        <v>5</v>
      </c>
      <c r="X8" s="24" t="n">
        <f aca="false">100*(SUMPRODUCT(J8:O8,Weights!$B$4:$G$4)+Q8*Weights!$H$4)</f>
        <v>52.6527829447166</v>
      </c>
      <c r="Y8" s="7" t="n">
        <f aca="false">RANK(X8,$X$5:$X$23,0)</f>
        <v>7</v>
      </c>
      <c r="Z8" s="25" t="n">
        <f aca="false">(S8&lt;=8)+(U8&lt;=8)+(W8&lt;=8)+(Y8&lt;=8)</f>
        <v>4</v>
      </c>
      <c r="AA8" s="24" t="n">
        <f aca="false">100*SUMPRODUCT(J8:P8,Weights!$B$7:$H$7)</f>
        <v>49.4097268054262</v>
      </c>
      <c r="AB8" s="7" t="n">
        <f aca="false">RANK(AA8,$AA$5:$AA$23,0)</f>
        <v>9</v>
      </c>
    </row>
    <row r="9" customFormat="false" ht="15" hidden="false" customHeight="false" outlineLevel="0" collapsed="false">
      <c r="A9" s="7" t="s">
        <v>65</v>
      </c>
      <c r="B9" s="19" t="n">
        <f aca="false">INDEX(Data_All!$F$5:$F$40,MATCH($A9,Data_All!$A$5:$A$40,0))</f>
        <v>40.45</v>
      </c>
      <c r="C9" s="20" t="n">
        <f aca="false">INDEX(Data_All!$G$5:$G$40,MATCH($A9,Data_All!$A$5:$A$40,0))</f>
        <v>0.07</v>
      </c>
      <c r="D9" s="19" t="n">
        <f aca="false">INDEX(Data_All!$J$5:$J$40,MATCH($A9,Data_All!$A$5:$A$40,0))</f>
        <v>6.29</v>
      </c>
      <c r="E9" s="21" t="n">
        <f aca="false">INDEX(Data_All!$H$5:$H$40,MATCH($A9,Data_All!$A$5:$A$40,0))</f>
        <v>10852</v>
      </c>
      <c r="F9" s="22" t="n">
        <f aca="false">INDEX(Data_All!$K$5:$K$40,MATCH($A9,Data_All!$A$5:$A$40,0))</f>
        <v>12.6</v>
      </c>
      <c r="G9" s="21" t="n">
        <f aca="false">INDEX(Data_All!$L$5:$L$40,MATCH($A9,Data_All!$A$5:$A$40,0))</f>
        <v>18789</v>
      </c>
      <c r="H9" s="19" t="n">
        <f aca="false">INDEX(Data_All!$M$5:$M$40,MATCH($A9,Data_All!$A$5:$A$40,0))</f>
        <v>2.005</v>
      </c>
      <c r="I9" s="19" t="n">
        <f aca="false">INDEX(Data_All!$N$5:$N$40,MATCH($A9,Data_All!$A$5:$A$40,0))</f>
        <v>10.055</v>
      </c>
      <c r="J9" s="23" t="n">
        <f aca="false">(MAX($B$5:$B$23)-B9)/(MAX($B$5:$B$23)-MIN($B$5:$B$23))</f>
        <v>0.55969517358171</v>
      </c>
      <c r="K9" s="23" t="n">
        <f aca="false">(C9-MIN($C$5:$C$23))/(MAX($C$5:$C$23)-MIN($C$5:$C$23))</f>
        <v>0</v>
      </c>
      <c r="L9" s="23" t="n">
        <f aca="false">(MAX($D$5:$D$23)-D9)/(MAX($D$5:$D$23)-MIN($D$5:$D$23))</f>
        <v>0.86125</v>
      </c>
      <c r="M9" s="23" t="n">
        <f aca="false">(LN(E9)-LN(MIN($E$5:$E$23)))/(LN(MAX($E$5:$E$23))-LN(MIN($E$5:$E$23)))</f>
        <v>0</v>
      </c>
      <c r="N9" s="23" t="n">
        <f aca="false">(F9-MIN($F$5:$F$23))/(MAX($F$5:$F$23)-MIN($F$5:$F$23))</f>
        <v>0.248484848484848</v>
      </c>
      <c r="O9" s="23" t="n">
        <f aca="false">(MAX($G$5:$G$23)-G9)/(MAX($G$5:$G$23)-MIN($G$5:$G$23))</f>
        <v>1</v>
      </c>
      <c r="P9" s="23" t="n">
        <f aca="false">(MAX($H$5:$H$23)-H9)/(MAX($H$5:$H$23)-MIN($H$5:$H$23))</f>
        <v>0.997835497835498</v>
      </c>
      <c r="Q9" s="23" t="n">
        <f aca="false">(MAX($I$5:$I$23)-I9)/(MAX($I$5:$I$23)-MIN($I$5:$I$23))</f>
        <v>1</v>
      </c>
      <c r="R9" s="24" t="n">
        <f aca="false">100*SUMPRODUCT(J9:P9,Weights!$B$4:$H$4)</f>
        <v>51.9071978754064</v>
      </c>
      <c r="S9" s="7" t="n">
        <f aca="false">RANK(R9,$R$5:$R$23,0)</f>
        <v>8</v>
      </c>
      <c r="T9" s="24" t="n">
        <f aca="false">100*SUMPRODUCT(J9:P9,Weights!$B$5:$H$5)</f>
        <v>52.4052242794004</v>
      </c>
      <c r="U9" s="7" t="n">
        <f aca="false">RANK(T9,$T$5:$T$23,0)</f>
        <v>6</v>
      </c>
      <c r="V9" s="24" t="n">
        <f aca="false">100*SUMPRODUCT(J9:P9,Weights!$B$6:$H$6)</f>
        <v>58.3137627217194</v>
      </c>
      <c r="W9" s="7" t="n">
        <f aca="false">RANK(V9,$V$5:$V$23,0)</f>
        <v>3</v>
      </c>
      <c r="X9" s="24" t="n">
        <f aca="false">100*(SUMPRODUCT(J9:O9,Weights!$B$4:$G$4)+Q9*Weights!$H$4)</f>
        <v>51.9295355377441</v>
      </c>
      <c r="Y9" s="7" t="n">
        <f aca="false">RANK(X9,$X$5:$X$23,0)</f>
        <v>9</v>
      </c>
      <c r="Z9" s="25" t="n">
        <f aca="false">(S9&lt;=8)+(U9&lt;=8)+(W9&lt;=8)+(Y9&lt;=8)</f>
        <v>3</v>
      </c>
      <c r="AA9" s="24" t="n">
        <f aca="false">100*SUMPRODUCT(J9:P9,Weights!$B$7:$H$7)</f>
        <v>52.8074586664394</v>
      </c>
      <c r="AB9" s="7" t="n">
        <f aca="false">RANK(AA9,$AA$5:$AA$23,0)</f>
        <v>6</v>
      </c>
    </row>
    <row r="10" customFormat="false" ht="15" hidden="false" customHeight="false" outlineLevel="0" collapsed="false">
      <c r="A10" s="7" t="s">
        <v>39</v>
      </c>
      <c r="B10" s="19" t="n">
        <f aca="false">INDEX(Data_All!$F$5:$F$40,MATCH($A10,Data_All!$A$5:$A$40,0))</f>
        <v>55.95</v>
      </c>
      <c r="C10" s="20" t="n">
        <f aca="false">INDEX(Data_All!$G$5:$G$40,MATCH($A10,Data_All!$A$5:$A$40,0))</f>
        <v>11.28</v>
      </c>
      <c r="D10" s="19" t="n">
        <f aca="false">INDEX(Data_All!$J$5:$J$40,MATCH($A10,Data_All!$A$5:$A$40,0))</f>
        <v>6.22</v>
      </c>
      <c r="E10" s="21" t="n">
        <f aca="false">INDEX(Data_All!$H$5:$H$40,MATCH($A10,Data_All!$A$5:$A$40,0))</f>
        <v>151875</v>
      </c>
      <c r="F10" s="22" t="n">
        <f aca="false">INDEX(Data_All!$K$5:$K$40,MATCH($A10,Data_All!$A$5:$A$40,0))</f>
        <v>14.9</v>
      </c>
      <c r="G10" s="21" t="n">
        <f aca="false">INDEX(Data_All!$L$5:$L$40,MATCH($A10,Data_All!$A$5:$A$40,0))</f>
        <v>21805</v>
      </c>
      <c r="H10" s="19" t="n">
        <f aca="false">INDEX(Data_All!$M$5:$M$40,MATCH($A10,Data_All!$A$5:$A$40,0))</f>
        <v>3.66</v>
      </c>
      <c r="I10" s="19" t="n">
        <f aca="false">INDEX(Data_All!$N$5:$N$40,MATCH($A10,Data_All!$A$5:$A$40,0))</f>
        <v>27.44</v>
      </c>
      <c r="J10" s="23" t="n">
        <f aca="false">(MAX($B$5:$B$23)-B10)/(MAX($B$5:$B$23)-MIN($B$5:$B$23))</f>
        <v>0.297205757832345</v>
      </c>
      <c r="K10" s="23" t="n">
        <f aca="false">(C10-MIN($C$5:$C$23))/(MAX($C$5:$C$23)-MIN($C$5:$C$23))</f>
        <v>0.560219890054973</v>
      </c>
      <c r="L10" s="23" t="n">
        <f aca="false">(MAX($D$5:$D$23)-D10)/(MAX($D$5:$D$23)-MIN($D$5:$D$23))</f>
        <v>0.87</v>
      </c>
      <c r="M10" s="23" t="n">
        <f aca="false">(LN(E10)-LN(MIN($E$5:$E$23)))/(LN(MAX($E$5:$E$23))-LN(MIN($E$5:$E$23)))</f>
        <v>0.902827943560736</v>
      </c>
      <c r="N10" s="23" t="n">
        <f aca="false">(F10-MIN($F$5:$F$23))/(MAX($F$5:$F$23)-MIN($F$5:$F$23))</f>
        <v>0.387878787878788</v>
      </c>
      <c r="O10" s="23" t="n">
        <f aca="false">(MAX($G$5:$G$23)-G10)/(MAX($G$5:$G$23)-MIN($G$5:$G$23))</f>
        <v>0.74231032125769</v>
      </c>
      <c r="P10" s="23" t="n">
        <f aca="false">(MAX($H$5:$H$23)-H10)/(MAX($H$5:$H$23)-MIN($H$5:$H$23))</f>
        <v>0.281385281385281</v>
      </c>
      <c r="Q10" s="23" t="n">
        <f aca="false">(MAX($I$5:$I$23)-I10)/(MAX($I$5:$I$23)-MIN($I$5:$I$23))</f>
        <v>0.611030316590223</v>
      </c>
      <c r="R10" s="24" t="n">
        <f aca="false">100*SUMPRODUCT(J10:P10,Weights!$B$4:$H$4)</f>
        <v>56.4795049189061</v>
      </c>
      <c r="S10" s="7" t="n">
        <f aca="false">RANK(R10,$R$5:$R$23,0)</f>
        <v>3</v>
      </c>
      <c r="T10" s="24" t="n">
        <f aca="false">100*SUMPRODUCT(J10:P10,Weights!$B$5:$H$5)</f>
        <v>57.7577218623486</v>
      </c>
      <c r="U10" s="7" t="n">
        <f aca="false">RANK(T10,$T$5:$T$23,0)</f>
        <v>2</v>
      </c>
      <c r="V10" s="24" t="n">
        <f aca="false">100*SUMPRODUCT(J10:P10,Weights!$B$6:$H$6)</f>
        <v>54.0401657919387</v>
      </c>
      <c r="W10" s="7" t="n">
        <f aca="false">RANK(V10,$V$5:$V$23,0)</f>
        <v>7</v>
      </c>
      <c r="X10" s="24" t="n">
        <f aca="false">100*(SUMPRODUCT(J10:O10,Weights!$B$4:$G$4)+Q10*Weights!$H$4)</f>
        <v>59.8814416822211</v>
      </c>
      <c r="Y10" s="7" t="n">
        <f aca="false">RANK(X10,$X$5:$X$23,0)</f>
        <v>2</v>
      </c>
      <c r="Z10" s="25" t="n">
        <f aca="false">(S10&lt;=8)+(U10&lt;=8)+(W10&lt;=8)+(Y10&lt;=8)</f>
        <v>4</v>
      </c>
      <c r="AA10" s="24" t="n">
        <f aca="false">100*SUMPRODUCT(J10:P10,Weights!$B$7:$H$7)</f>
        <v>53.8877571946168</v>
      </c>
      <c r="AB10" s="7" t="n">
        <f aca="false">RANK(AA10,$AA$5:$AA$23,0)</f>
        <v>5</v>
      </c>
    </row>
    <row r="11" customFormat="false" ht="15" hidden="false" customHeight="false" outlineLevel="0" collapsed="false">
      <c r="A11" s="7" t="s">
        <v>42</v>
      </c>
      <c r="B11" s="19" t="n">
        <f aca="false">INDEX(Data_All!$F$5:$F$40,MATCH($A11,Data_All!$A$5:$A$40,0))</f>
        <v>38.5</v>
      </c>
      <c r="C11" s="20" t="n">
        <f aca="false">INDEX(Data_All!$G$5:$G$40,MATCH($A11,Data_All!$A$5:$A$40,0))</f>
        <v>0.62</v>
      </c>
      <c r="D11" s="19" t="n">
        <f aca="false">INDEX(Data_All!$J$5:$J$40,MATCH($A11,Data_All!$A$5:$A$40,0))</f>
        <v>8.07</v>
      </c>
      <c r="E11" s="21" t="n">
        <f aca="false">INDEX(Data_All!$H$5:$H$40,MATCH($A11,Data_All!$A$5:$A$40,0))</f>
        <v>13526</v>
      </c>
      <c r="F11" s="22" t="n">
        <f aca="false">INDEX(Data_All!$K$5:$K$40,MATCH($A11,Data_All!$A$5:$A$40,0))</f>
        <v>22.7</v>
      </c>
      <c r="G11" s="21" t="n">
        <f aca="false">INDEX(Data_All!$L$5:$L$40,MATCH($A11,Data_All!$A$5:$A$40,0))</f>
        <v>27878</v>
      </c>
      <c r="H11" s="19" t="n">
        <f aca="false">INDEX(Data_All!$M$5:$M$40,MATCH($A11,Data_All!$A$5:$A$40,0))</f>
        <v>3.03</v>
      </c>
      <c r="I11" s="19" t="n">
        <f aca="false">INDEX(Data_All!$N$5:$N$40,MATCH($A11,Data_All!$A$5:$A$40,0))</f>
        <v>15.63</v>
      </c>
      <c r="J11" s="23" t="n">
        <f aca="false">(MAX($B$5:$B$23)-B11)/(MAX($B$5:$B$23)-MIN($B$5:$B$23))</f>
        <v>0.592718035563082</v>
      </c>
      <c r="K11" s="23" t="n">
        <f aca="false">(C11-MIN($C$5:$C$23))/(MAX($C$5:$C$23)-MIN($C$5:$C$23))</f>
        <v>0.0274862568715642</v>
      </c>
      <c r="L11" s="23" t="n">
        <f aca="false">(MAX($D$5:$D$23)-D11)/(MAX($D$5:$D$23)-MIN($D$5:$D$23))</f>
        <v>0.63875</v>
      </c>
      <c r="M11" s="23" t="n">
        <f aca="false">(LN(E11)-LN(MIN($E$5:$E$23)))/(LN(MAX($E$5:$E$23))-LN(MIN($E$5:$E$23)))</f>
        <v>0.0753629395566909</v>
      </c>
      <c r="N11" s="23" t="n">
        <f aca="false">(F11-MIN($F$5:$F$23))/(MAX($F$5:$F$23)-MIN($F$5:$F$23))</f>
        <v>0.860606060606061</v>
      </c>
      <c r="O11" s="23" t="n">
        <f aca="false">(MAX($G$5:$G$23)-G11)/(MAX($G$5:$G$23)-MIN($G$5:$G$23))</f>
        <v>0.223427887901572</v>
      </c>
      <c r="P11" s="23" t="n">
        <f aca="false">(MAX($H$5:$H$23)-H11)/(MAX($H$5:$H$23)-MIN($H$5:$H$23))</f>
        <v>0.554112554112554</v>
      </c>
      <c r="Q11" s="23" t="n">
        <f aca="false">(MAX($I$5:$I$23)-I11)/(MAX($I$5:$I$23)-MIN($I$5:$I$23))</f>
        <v>0.87526568967446</v>
      </c>
      <c r="R11" s="24" t="n">
        <f aca="false">100*SUMPRODUCT(J11:P11,Weights!$B$4:$H$4)</f>
        <v>36.3183779310508</v>
      </c>
      <c r="S11" s="7" t="n">
        <f aca="false">RANK(R11,$R$5:$R$23,0)</f>
        <v>17</v>
      </c>
      <c r="T11" s="24" t="n">
        <f aca="false">100*SUMPRODUCT(J11:P11,Weights!$B$5:$H$5)</f>
        <v>42.4765067675987</v>
      </c>
      <c r="U11" s="7" t="n">
        <f aca="false">RANK(T11,$T$5:$T$23,0)</f>
        <v>15</v>
      </c>
      <c r="V11" s="24" t="n">
        <f aca="false">100*SUMPRODUCT(J11:P11,Weights!$B$6:$H$6)</f>
        <v>44.082203609051</v>
      </c>
      <c r="W11" s="7" t="n">
        <f aca="false">RANK(V11,$V$5:$V$23,0)</f>
        <v>14</v>
      </c>
      <c r="X11" s="24" t="n">
        <f aca="false">100*(SUMPRODUCT(J11:O11,Weights!$B$4:$G$4)+Q11*Weights!$H$4)</f>
        <v>39.6326782900497</v>
      </c>
      <c r="Y11" s="7" t="n">
        <f aca="false">RANK(X11,$X$5:$X$23,0)</f>
        <v>17</v>
      </c>
      <c r="Z11" s="25" t="n">
        <f aca="false">(S11&lt;=8)+(U11&lt;=8)+(W11&lt;=8)+(Y11&lt;=8)</f>
        <v>0</v>
      </c>
      <c r="AA11" s="24" t="n">
        <f aca="false">100*SUMPRODUCT(J11:P11,Weights!$B$7:$H$7)</f>
        <v>46.056592059697</v>
      </c>
      <c r="AB11" s="7" t="n">
        <f aca="false">RANK(AA11,$AA$5:$AA$23,0)</f>
        <v>12</v>
      </c>
    </row>
    <row r="12" customFormat="false" ht="15" hidden="false" customHeight="false" outlineLevel="0" collapsed="false">
      <c r="A12" s="7" t="s">
        <v>67</v>
      </c>
      <c r="B12" s="19" t="n">
        <f aca="false">INDEX(Data_All!$F$5:$F$40,MATCH($A12,Data_All!$A$5:$A$40,0))</f>
        <v>24.73</v>
      </c>
      <c r="C12" s="20" t="n">
        <f aca="false">INDEX(Data_All!$G$5:$G$40,MATCH($A12,Data_All!$A$5:$A$40,0))</f>
        <v>1.56</v>
      </c>
      <c r="D12" s="19" t="n">
        <f aca="false">INDEX(Data_All!$J$5:$J$40,MATCH($A12,Data_All!$A$5:$A$40,0))</f>
        <v>5.18</v>
      </c>
      <c r="E12" s="21" t="n">
        <f aca="false">INDEX(Data_All!$H$5:$H$40,MATCH($A12,Data_All!$A$5:$A$40,0))</f>
        <v>20283</v>
      </c>
      <c r="F12" s="22" t="n">
        <f aca="false">INDEX(Data_All!$K$5:$K$40,MATCH($A12,Data_All!$A$5:$A$40,0))</f>
        <v>14.1</v>
      </c>
      <c r="G12" s="21" t="n">
        <f aca="false">INDEX(Data_All!$L$5:$L$40,MATCH($A12,Data_All!$A$5:$A$40,0))</f>
        <v>29088</v>
      </c>
      <c r="H12" s="19" t="n">
        <f aca="false">INDEX(Data_All!$M$5:$M$40,MATCH($A12,Data_All!$A$5:$A$40,0))</f>
        <v>2.26</v>
      </c>
      <c r="I12" s="19" t="n">
        <f aca="false">INDEX(Data_All!$N$5:$N$40,MATCH($A12,Data_All!$A$5:$A$40,0))</f>
        <v>14.56</v>
      </c>
      <c r="J12" s="23" t="n">
        <f aca="false">(MAX($B$5:$B$23)-B12)/(MAX($B$5:$B$23)-MIN($B$5:$B$23))</f>
        <v>0.825910245554615</v>
      </c>
      <c r="K12" s="23" t="n">
        <f aca="false">(C12-MIN($C$5:$C$23))/(MAX($C$5:$C$23)-MIN($C$5:$C$23))</f>
        <v>0.0744627686156922</v>
      </c>
      <c r="L12" s="23" t="n">
        <f aca="false">(MAX($D$5:$D$23)-D12)/(MAX($D$5:$D$23)-MIN($D$5:$D$23))</f>
        <v>1</v>
      </c>
      <c r="M12" s="23" t="n">
        <f aca="false">(LN(E12)-LN(MIN($E$5:$E$23)))/(LN(MAX($E$5:$E$23))-LN(MIN($E$5:$E$23)))</f>
        <v>0.213990685315032</v>
      </c>
      <c r="N12" s="23" t="n">
        <f aca="false">(F12-MIN($F$5:$F$23))/(MAX($F$5:$F$23)-MIN($F$5:$F$23))</f>
        <v>0.339393939393939</v>
      </c>
      <c r="O12" s="23" t="n">
        <f aca="false">(MAX($G$5:$G$23)-G12)/(MAX($G$5:$G$23)-MIN($G$5:$G$23))</f>
        <v>0.120044429254956</v>
      </c>
      <c r="P12" s="23" t="n">
        <f aca="false">(MAX($H$5:$H$23)-H12)/(MAX($H$5:$H$23)-MIN($H$5:$H$23))</f>
        <v>0.887445887445888</v>
      </c>
      <c r="Q12" s="23" t="n">
        <f aca="false">(MAX($I$5:$I$23)-I12)/(MAX($I$5:$I$23)-MIN($I$5:$I$23))</f>
        <v>0.899205727710035</v>
      </c>
      <c r="R12" s="24" t="n">
        <f aca="false">100*SUMPRODUCT(J12:P12,Weights!$B$4:$H$4)</f>
        <v>44.3098280402758</v>
      </c>
      <c r="S12" s="7" t="n">
        <f aca="false">RANK(R12,$R$5:$R$23,0)</f>
        <v>11</v>
      </c>
      <c r="T12" s="24" t="n">
        <f aca="false">100*SUMPRODUCT(J12:P12,Weights!$B$5:$H$5)</f>
        <v>49.4612332852399</v>
      </c>
      <c r="U12" s="7" t="n">
        <f aca="false">RANK(T12,$T$5:$T$23,0)</f>
        <v>9</v>
      </c>
      <c r="V12" s="24" t="n">
        <f aca="false">100*SUMPRODUCT(J12:P12,Weights!$B$6:$H$6)</f>
        <v>54.3586730378251</v>
      </c>
      <c r="W12" s="7" t="n">
        <f aca="false">RANK(V12,$V$5:$V$23,0)</f>
        <v>6</v>
      </c>
      <c r="X12" s="24" t="n">
        <f aca="false">100*(SUMPRODUCT(J12:O12,Weights!$B$4:$G$4)+Q12*Weights!$H$4)</f>
        <v>44.4311895918018</v>
      </c>
      <c r="Y12" s="7" t="n">
        <f aca="false">RANK(X12,$X$5:$X$23,0)</f>
        <v>12</v>
      </c>
      <c r="Z12" s="25" t="n">
        <f aca="false">(S12&lt;=8)+(U12&lt;=8)+(W12&lt;=8)+(Y12&lt;=8)</f>
        <v>1</v>
      </c>
      <c r="AA12" s="24" t="n">
        <f aca="false">100*SUMPRODUCT(J12:P12,Weights!$B$7:$H$7)</f>
        <v>54.3780949886249</v>
      </c>
      <c r="AB12" s="7" t="n">
        <f aca="false">RANK(AA12,$AA$5:$AA$23,0)</f>
        <v>4</v>
      </c>
    </row>
    <row r="13" customFormat="false" ht="15" hidden="false" customHeight="false" outlineLevel="0" collapsed="false">
      <c r="A13" s="7" t="s">
        <v>43</v>
      </c>
      <c r="B13" s="19" t="n">
        <f aca="false">INDEX(Data_All!$F$5:$F$40,MATCH($A13,Data_All!$A$5:$A$40,0))</f>
        <v>32.89</v>
      </c>
      <c r="C13" s="20" t="n">
        <f aca="false">INDEX(Data_All!$G$5:$G$40,MATCH($A13,Data_All!$A$5:$A$40,0))</f>
        <v>3.78</v>
      </c>
      <c r="D13" s="19" t="n">
        <f aca="false">INDEX(Data_All!$J$5:$J$40,MATCH($A13,Data_All!$A$5:$A$40,0))</f>
        <v>8.82</v>
      </c>
      <c r="E13" s="21" t="n">
        <f aca="false">INDEX(Data_All!$H$5:$H$40,MATCH($A13,Data_All!$A$5:$A$40,0))</f>
        <v>15126</v>
      </c>
      <c r="F13" s="22" t="n">
        <f aca="false">INDEX(Data_All!$K$5:$K$40,MATCH($A13,Data_All!$A$5:$A$40,0))</f>
        <v>9.9</v>
      </c>
      <c r="G13" s="21" t="n">
        <f aca="false">INDEX(Data_All!$L$5:$L$40,MATCH($A13,Data_All!$A$5:$A$40,0))</f>
        <v>30055</v>
      </c>
      <c r="H13" s="19" t="n">
        <f aca="false">INDEX(Data_All!$M$5:$M$40,MATCH($A13,Data_All!$A$5:$A$40,0))</f>
        <v>2.46</v>
      </c>
      <c r="I13" s="19" t="n">
        <f aca="false">INDEX(Data_All!$N$5:$N$40,MATCH($A13,Data_All!$A$5:$A$40,0))</f>
        <v>17.03</v>
      </c>
      <c r="J13" s="23" t="n">
        <f aca="false">(MAX($B$5:$B$23)-B13)/(MAX($B$5:$B$23)-MIN($B$5:$B$23))</f>
        <v>0.687722269263336</v>
      </c>
      <c r="K13" s="23" t="n">
        <f aca="false">(C13-MIN($C$5:$C$23))/(MAX($C$5:$C$23)-MIN($C$5:$C$23))</f>
        <v>0.185407296351824</v>
      </c>
      <c r="L13" s="23" t="n">
        <f aca="false">(MAX($D$5:$D$23)-D13)/(MAX($D$5:$D$23)-MIN($D$5:$D$23))</f>
        <v>0.545</v>
      </c>
      <c r="M13" s="23" t="n">
        <f aca="false">(LN(E13)-LN(MIN($E$5:$E$23)))/(LN(MAX($E$5:$E$23))-LN(MIN($E$5:$E$23)))</f>
        <v>0.113615514053369</v>
      </c>
      <c r="N13" s="23" t="n">
        <f aca="false">(F13-MIN($F$5:$F$23))/(MAX($F$5:$F$23)-MIN($F$5:$F$23))</f>
        <v>0.0848484848484849</v>
      </c>
      <c r="O13" s="23" t="n">
        <f aca="false">(MAX($G$5:$G$23)-G13)/(MAX($G$5:$G$23)-MIN($G$5:$G$23))</f>
        <v>0.0374231032125769</v>
      </c>
      <c r="P13" s="23" t="n">
        <f aca="false">(MAX($H$5:$H$23)-H13)/(MAX($H$5:$H$23)-MIN($H$5:$H$23))</f>
        <v>0.800865800865801</v>
      </c>
      <c r="Q13" s="23" t="n">
        <f aca="false">(MAX($I$5:$I$23)-I13)/(MAX($I$5:$I$23)-MIN($I$5:$I$23))</f>
        <v>0.843942275422307</v>
      </c>
      <c r="R13" s="24" t="n">
        <f aca="false">100*SUMPRODUCT(J13:P13,Weights!$B$4:$H$4)</f>
        <v>34.0868828302798</v>
      </c>
      <c r="S13" s="7" t="n">
        <f aca="false">RANK(R13,$R$5:$R$23,0)</f>
        <v>18</v>
      </c>
      <c r="T13" s="24" t="n">
        <f aca="false">100*SUMPRODUCT(J13:P13,Weights!$B$5:$H$5)</f>
        <v>35.0802704762282</v>
      </c>
      <c r="U13" s="7" t="n">
        <f aca="false">RANK(T13,$T$5:$T$23,0)</f>
        <v>19</v>
      </c>
      <c r="V13" s="24" t="n">
        <f aca="false">100*SUMPRODUCT(J13:P13,Weights!$B$6:$H$6)</f>
        <v>40.6968533682649</v>
      </c>
      <c r="W13" s="7" t="n">
        <f aca="false">RANK(V13,$V$5:$V$23,0)</f>
        <v>16</v>
      </c>
      <c r="X13" s="24" t="n">
        <f aca="false">100*(SUMPRODUCT(J13:O13,Weights!$B$4:$G$4)+Q13*Weights!$H$4)</f>
        <v>34.5314320477029</v>
      </c>
      <c r="Y13" s="7" t="n">
        <f aca="false">RANK(X13,$X$5:$X$23,0)</f>
        <v>18</v>
      </c>
      <c r="Z13" s="25" t="n">
        <f aca="false">(S13&lt;=8)+(U13&lt;=8)+(W13&lt;=8)+(Y13&lt;=8)</f>
        <v>0</v>
      </c>
      <c r="AA13" s="24" t="n">
        <f aca="false">100*SUMPRODUCT(J13:P13,Weights!$B$7:$H$7)</f>
        <v>39.5066552889178</v>
      </c>
      <c r="AB13" s="7" t="n">
        <f aca="false">RANK(AA13,$AA$5:$AA$23,0)</f>
        <v>18</v>
      </c>
    </row>
    <row r="14" customFormat="false" ht="15" hidden="false" customHeight="false" outlineLevel="0" collapsed="false">
      <c r="A14" s="7" t="s">
        <v>44</v>
      </c>
      <c r="B14" s="19" t="n">
        <f aca="false">INDEX(Data_All!$F$5:$F$40,MATCH($A14,Data_All!$A$5:$A$40,0))</f>
        <v>66.49</v>
      </c>
      <c r="C14" s="20" t="n">
        <f aca="false">INDEX(Data_All!$G$5:$G$40,MATCH($A14,Data_All!$A$5:$A$40,0))</f>
        <v>5.83</v>
      </c>
      <c r="D14" s="19" t="n">
        <f aca="false">INDEX(Data_All!$J$5:$J$40,MATCH($A14,Data_All!$A$5:$A$40,0))</f>
        <v>8.1</v>
      </c>
      <c r="E14" s="21" t="n">
        <f aca="false">INDEX(Data_All!$H$5:$H$40,MATCH($A14,Data_All!$A$5:$A$40,0))</f>
        <v>92446</v>
      </c>
      <c r="F14" s="22" t="n">
        <f aca="false">INDEX(Data_All!$K$5:$K$40,MATCH($A14,Data_All!$A$5:$A$40,0))</f>
        <v>17.4</v>
      </c>
      <c r="G14" s="21" t="n">
        <f aca="false">INDEX(Data_All!$L$5:$L$40,MATCH($A14,Data_All!$A$5:$A$40,0))</f>
        <v>30471</v>
      </c>
      <c r="H14" s="19" t="n">
        <f aca="false">INDEX(Data_All!$M$5:$M$40,MATCH($A14,Data_All!$A$5:$A$40,0))</f>
        <v>2.78</v>
      </c>
      <c r="I14" s="19" t="n">
        <f aca="false">INDEX(Data_All!$N$5:$N$40,MATCH($A14,Data_All!$A$5:$A$40,0))</f>
        <v>29.82</v>
      </c>
      <c r="J14" s="23" t="n">
        <f aca="false">(MAX($B$5:$B$23)-B14)/(MAX($B$5:$B$23)-MIN($B$5:$B$23))</f>
        <v>0.118712955122777</v>
      </c>
      <c r="K14" s="23" t="n">
        <f aca="false">(C14-MIN($C$5:$C$23))/(MAX($C$5:$C$23)-MIN($C$5:$C$23))</f>
        <v>0.287856071964018</v>
      </c>
      <c r="L14" s="23" t="n">
        <f aca="false">(MAX($D$5:$D$23)-D14)/(MAX($D$5:$D$23)-MIN($D$5:$D$23))</f>
        <v>0.635</v>
      </c>
      <c r="M14" s="23" t="n">
        <f aca="false">(LN(E14)-LN(MIN($E$5:$E$23)))/(LN(MAX($E$5:$E$23))-LN(MIN($E$5:$E$23)))</f>
        <v>0.732974505786596</v>
      </c>
      <c r="N14" s="23" t="n">
        <f aca="false">(F14-MIN($F$5:$F$23))/(MAX($F$5:$F$23)-MIN($F$5:$F$23))</f>
        <v>0.539393939393939</v>
      </c>
      <c r="O14" s="23" t="n">
        <f aca="false">(MAX($G$5:$G$23)-G14)/(MAX($G$5:$G$23)-MIN($G$5:$G$23))</f>
        <v>0.0018796992481203</v>
      </c>
      <c r="P14" s="23" t="n">
        <f aca="false">(MAX($H$5:$H$23)-H14)/(MAX($H$5:$H$23)-MIN($H$5:$H$23))</f>
        <v>0.662337662337662</v>
      </c>
      <c r="Q14" s="23" t="n">
        <f aca="false">(MAX($I$5:$I$23)-I14)/(MAX($I$5:$I$23)-MIN($I$5:$I$23))</f>
        <v>0.557780512361562</v>
      </c>
      <c r="R14" s="24" t="n">
        <f aca="false">100*SUMPRODUCT(J14:P14,Weights!$B$4:$H$4)</f>
        <v>33.1246115693575</v>
      </c>
      <c r="S14" s="7" t="n">
        <f aca="false">RANK(R14,$R$5:$R$23,0)</f>
        <v>19</v>
      </c>
      <c r="T14" s="24" t="n">
        <f aca="false">100*SUMPRODUCT(J14:P14,Weights!$B$5:$H$5)</f>
        <v>42.557832575761</v>
      </c>
      <c r="U14" s="7" t="n">
        <f aca="false">RANK(T14,$T$5:$T$23,0)</f>
        <v>14</v>
      </c>
      <c r="V14" s="24" t="n">
        <f aca="false">100*SUMPRODUCT(J14:P14,Weights!$B$6:$H$6)</f>
        <v>45.5061562023847</v>
      </c>
      <c r="W14" s="7" t="n">
        <f aca="false">RANK(V14,$V$5:$V$23,0)</f>
        <v>13</v>
      </c>
      <c r="X14" s="24" t="n">
        <f aca="false">100*(SUMPRODUCT(J14:O14,Weights!$B$4:$G$4)+Q14*Weights!$H$4)</f>
        <v>32.0455817816041</v>
      </c>
      <c r="Y14" s="7" t="n">
        <f aca="false">RANK(X14,$X$5:$X$23,0)</f>
        <v>19</v>
      </c>
      <c r="Z14" s="25" t="n">
        <f aca="false">(S14&lt;=8)+(U14&lt;=8)+(W14&lt;=8)+(Y14&lt;=8)</f>
        <v>0</v>
      </c>
      <c r="AA14" s="24" t="n">
        <f aca="false">100*SUMPRODUCT(J14:P14,Weights!$B$7:$H$7)</f>
        <v>41.591616258237</v>
      </c>
      <c r="AB14" s="7" t="n">
        <f aca="false">RANK(AA14,$AA$5:$AA$23,0)</f>
        <v>15</v>
      </c>
    </row>
    <row r="15" customFormat="false" ht="15" hidden="false" customHeight="false" outlineLevel="0" collapsed="false">
      <c r="A15" s="7" t="s">
        <v>45</v>
      </c>
      <c r="B15" s="19" t="n">
        <f aca="false">INDEX(Data_All!$F$5:$F$40,MATCH($A15,Data_All!$A$5:$A$40,0))</f>
        <v>49.95</v>
      </c>
      <c r="C15" s="20" t="n">
        <f aca="false">INDEX(Data_All!$G$5:$G$40,MATCH($A15,Data_All!$A$5:$A$40,0))</f>
        <v>2.47</v>
      </c>
      <c r="D15" s="19" t="n">
        <f aca="false">INDEX(Data_All!$J$5:$J$40,MATCH($A15,Data_All!$A$5:$A$40,0))</f>
        <v>7.63</v>
      </c>
      <c r="E15" s="21" t="n">
        <f aca="false">INDEX(Data_All!$H$5:$H$40,MATCH($A15,Data_All!$A$5:$A$40,0))</f>
        <v>31616</v>
      </c>
      <c r="F15" s="22" t="n">
        <f aca="false">INDEX(Data_All!$K$5:$K$40,MATCH($A15,Data_All!$A$5:$A$40,0))</f>
        <v>25</v>
      </c>
      <c r="G15" s="21" t="n">
        <f aca="false">INDEX(Data_All!$L$5:$L$40,MATCH($A15,Data_All!$A$5:$A$40,0))</f>
        <v>28475</v>
      </c>
      <c r="H15" s="19" t="n">
        <f aca="false">INDEX(Data_All!$M$5:$M$40,MATCH($A15,Data_All!$A$5:$A$40,0))</f>
        <v>2.97</v>
      </c>
      <c r="I15" s="19" t="n">
        <f aca="false">INDEX(Data_All!$N$5:$N$40,MATCH($A15,Data_All!$A$5:$A$40,0))</f>
        <v>13.75</v>
      </c>
      <c r="J15" s="23" t="n">
        <f aca="false">(MAX($B$5:$B$23)-B15)/(MAX($B$5:$B$23)-MIN($B$5:$B$23))</f>
        <v>0.398814563928874</v>
      </c>
      <c r="K15" s="23" t="n">
        <f aca="false">(C15-MIN($C$5:$C$23))/(MAX($C$5:$C$23)-MIN($C$5:$C$23))</f>
        <v>0.119940029985008</v>
      </c>
      <c r="L15" s="23" t="n">
        <f aca="false">(MAX($D$5:$D$23)-D15)/(MAX($D$5:$D$23)-MIN($D$5:$D$23))</f>
        <v>0.69375</v>
      </c>
      <c r="M15" s="23" t="n">
        <f aca="false">(LN(E15)-LN(MIN($E$5:$E$23)))/(LN(MAX($E$5:$E$23))-LN(MIN($E$5:$E$23)))</f>
        <v>0.365863271009798</v>
      </c>
      <c r="N15" s="23" t="n">
        <f aca="false">(F15-MIN($F$5:$F$23))/(MAX($F$5:$F$23)-MIN($F$5:$F$23))</f>
        <v>1</v>
      </c>
      <c r="O15" s="23" t="n">
        <f aca="false">(MAX($G$5:$G$23)-G15)/(MAX($G$5:$G$23)-MIN($G$5:$G$23))</f>
        <v>0.17241968557758</v>
      </c>
      <c r="P15" s="23" t="n">
        <f aca="false">(MAX($H$5:$H$23)-H15)/(MAX($H$5:$H$23)-MIN($H$5:$H$23))</f>
        <v>0.58008658008658</v>
      </c>
      <c r="Q15" s="23" t="n">
        <f aca="false">(MAX($I$5:$I$23)-I15)/(MAX($I$5:$I$23)-MIN($I$5:$I$23))</f>
        <v>0.917328560241638</v>
      </c>
      <c r="R15" s="24" t="n">
        <f aca="false">100*SUMPRODUCT(J15:P15,Weights!$B$4:$H$4)</f>
        <v>38.1131755662421</v>
      </c>
      <c r="S15" s="7" t="n">
        <f aca="false">RANK(R15,$R$5:$R$23,0)</f>
        <v>16</v>
      </c>
      <c r="T15" s="24" t="n">
        <f aca="false">100*SUMPRODUCT(J15:P15,Weights!$B$5:$H$5)</f>
        <v>47.5981913261002</v>
      </c>
      <c r="U15" s="7" t="n">
        <f aca="false">RANK(T15,$T$5:$T$23,0)</f>
        <v>11</v>
      </c>
      <c r="V15" s="24" t="n">
        <f aca="false">100*SUMPRODUCT(J15:P15,Weights!$B$6:$H$6)</f>
        <v>48.8870088834302</v>
      </c>
      <c r="W15" s="7" t="n">
        <f aca="false">RANK(V15,$V$5:$V$23,0)</f>
        <v>9</v>
      </c>
      <c r="X15" s="24" t="n">
        <f aca="false">100*(SUMPRODUCT(J15:O15,Weights!$B$4:$G$4)+Q15*Weights!$H$4)</f>
        <v>41.5935128014423</v>
      </c>
      <c r="Y15" s="7" t="n">
        <f aca="false">RANK(X15,$X$5:$X$23,0)</f>
        <v>14</v>
      </c>
      <c r="Z15" s="25" t="n">
        <f aca="false">(S15&lt;=8)+(U15&lt;=8)+(W15&lt;=8)+(Y15&lt;=8)</f>
        <v>0</v>
      </c>
      <c r="AA15" s="24" t="n">
        <f aca="false">100*SUMPRODUCT(J15:P15,Weights!$B$7:$H$7)</f>
        <v>49.2657699955251</v>
      </c>
      <c r="AB15" s="7" t="n">
        <f aca="false">RANK(AA15,$AA$5:$AA$23,0)</f>
        <v>10</v>
      </c>
    </row>
    <row r="16" customFormat="false" ht="15" hidden="false" customHeight="false" outlineLevel="0" collapsed="false">
      <c r="A16" s="7" t="s">
        <v>46</v>
      </c>
      <c r="B16" s="19" t="n">
        <f aca="false">INDEX(Data_All!$F$5:$F$40,MATCH($A16,Data_All!$A$5:$A$40,0))</f>
        <v>59.32</v>
      </c>
      <c r="C16" s="20" t="n">
        <f aca="false">INDEX(Data_All!$G$5:$G$40,MATCH($A16,Data_All!$A$5:$A$40,0))</f>
        <v>13.89</v>
      </c>
      <c r="D16" s="19" t="n">
        <f aca="false">INDEX(Data_All!$J$5:$J$40,MATCH($A16,Data_All!$A$5:$A$40,0))</f>
        <v>8.73</v>
      </c>
      <c r="E16" s="21" t="n">
        <f aca="false">INDEX(Data_All!$H$5:$H$40,MATCH($A16,Data_All!$A$5:$A$40,0))</f>
        <v>104312</v>
      </c>
      <c r="F16" s="22" t="n">
        <f aca="false">INDEX(Data_All!$K$5:$K$40,MATCH($A16,Data_All!$A$5:$A$40,0))</f>
        <v>12.7</v>
      </c>
      <c r="G16" s="21" t="n">
        <f aca="false">INDEX(Data_All!$L$5:$L$40,MATCH($A16,Data_All!$A$5:$A$40,0))</f>
        <v>22768</v>
      </c>
      <c r="H16" s="19" t="n">
        <f aca="false">INDEX(Data_All!$M$5:$M$40,MATCH($A16,Data_All!$A$5:$A$40,0))</f>
        <v>2.81</v>
      </c>
      <c r="I16" s="19" t="n">
        <f aca="false">INDEX(Data_All!$N$5:$N$40,MATCH($A16,Data_All!$A$5:$A$40,0))</f>
        <v>30.79</v>
      </c>
      <c r="J16" s="23" t="n">
        <f aca="false">(MAX($B$5:$B$23)-B16)/(MAX($B$5:$B$23)-MIN($B$5:$B$23))</f>
        <v>0.240135478408129</v>
      </c>
      <c r="K16" s="23" t="n">
        <f aca="false">(C16-MIN($C$5:$C$23))/(MAX($C$5:$C$23)-MIN($C$5:$C$23))</f>
        <v>0.690654672663668</v>
      </c>
      <c r="L16" s="23" t="n">
        <f aca="false">(MAX($D$5:$D$23)-D16)/(MAX($D$5:$D$23)-MIN($D$5:$D$23))</f>
        <v>0.55625</v>
      </c>
      <c r="M16" s="23" t="n">
        <f aca="false">(LN(E16)-LN(MIN($E$5:$E$23)))/(LN(MAX($E$5:$E$23))-LN(MIN($E$5:$E$23)))</f>
        <v>0.774292846454414</v>
      </c>
      <c r="N16" s="23" t="n">
        <f aca="false">(F16-MIN($F$5:$F$23))/(MAX($F$5:$F$23)-MIN($F$5:$F$23))</f>
        <v>0.254545454545455</v>
      </c>
      <c r="O16" s="23" t="n">
        <f aca="false">(MAX($G$5:$G$23)-G16)/(MAX($G$5:$G$23)-MIN($G$5:$G$23))</f>
        <v>0.660030758714969</v>
      </c>
      <c r="P16" s="23" t="n">
        <f aca="false">(MAX($H$5:$H$23)-H16)/(MAX($H$5:$H$23)-MIN($H$5:$H$23))</f>
        <v>0.649350649350649</v>
      </c>
      <c r="Q16" s="23" t="n">
        <f aca="false">(MAX($I$5:$I$23)-I16)/(MAX($I$5:$I$23)-MIN($I$5:$I$23))</f>
        <v>0.536077861058284</v>
      </c>
      <c r="R16" s="24" t="n">
        <f aca="false">100*SUMPRODUCT(J16:P16,Weights!$B$4:$H$4)</f>
        <v>54.8274391107968</v>
      </c>
      <c r="S16" s="7" t="n">
        <f aca="false">RANK(R16,$R$5:$R$23,0)</f>
        <v>6</v>
      </c>
      <c r="T16" s="24" t="n">
        <f aca="false">100*SUMPRODUCT(J16:P16,Weights!$B$5:$H$5)</f>
        <v>54.6629634013618</v>
      </c>
      <c r="U16" s="7" t="n">
        <f aca="false">RANK(T16,$T$5:$T$23,0)</f>
        <v>4</v>
      </c>
      <c r="V16" s="24" t="n">
        <f aca="false">100*SUMPRODUCT(J16:P16,Weights!$B$6:$H$6)</f>
        <v>55.9326313685992</v>
      </c>
      <c r="W16" s="7" t="n">
        <f aca="false">RANK(V16,$V$5:$V$23,0)</f>
        <v>4</v>
      </c>
      <c r="X16" s="24" t="n">
        <f aca="false">100*(SUMPRODUCT(J16:O16,Weights!$B$4:$G$4)+Q16*Weights!$H$4)</f>
        <v>53.6584639356196</v>
      </c>
      <c r="Y16" s="7" t="n">
        <f aca="false">RANK(X16,$X$5:$X$23,0)</f>
        <v>6</v>
      </c>
      <c r="Z16" s="25" t="n">
        <f aca="false">(S16&lt;=8)+(U16&lt;=8)+(W16&lt;=8)+(Y16&lt;=8)</f>
        <v>4</v>
      </c>
      <c r="AA16" s="24" t="n">
        <f aca="false">100*SUMPRODUCT(J16:P16,Weights!$B$7:$H$7)</f>
        <v>51.407957268253</v>
      </c>
      <c r="AB16" s="7" t="n">
        <f aca="false">RANK(AA16,$AA$5:$AA$23,0)</f>
        <v>8</v>
      </c>
    </row>
    <row r="17" customFormat="false" ht="15" hidden="false" customHeight="false" outlineLevel="0" collapsed="false">
      <c r="A17" s="7" t="s">
        <v>47</v>
      </c>
      <c r="B17" s="19" t="n">
        <f aca="false">INDEX(Data_All!$F$5:$F$40,MATCH($A17,Data_All!$A$5:$A$40,0))</f>
        <v>51.79</v>
      </c>
      <c r="C17" s="20" t="n">
        <f aca="false">INDEX(Data_All!$G$5:$G$40,MATCH($A17,Data_All!$A$5:$A$40,0))</f>
        <v>15.42</v>
      </c>
      <c r="D17" s="19" t="n">
        <f aca="false">INDEX(Data_All!$J$5:$J$40,MATCH($A17,Data_All!$A$5:$A$40,0))</f>
        <v>13.18</v>
      </c>
      <c r="E17" s="21" t="n">
        <f aca="false">INDEX(Data_All!$H$5:$H$40,MATCH($A17,Data_All!$A$5:$A$40,0))</f>
        <v>201757</v>
      </c>
      <c r="F17" s="22" t="n">
        <f aca="false">INDEX(Data_All!$K$5:$K$40,MATCH($A17,Data_All!$A$5:$A$40,0))</f>
        <v>20.3</v>
      </c>
      <c r="G17" s="21" t="n">
        <f aca="false">INDEX(Data_All!$L$5:$L$40,MATCH($A17,Data_All!$A$5:$A$40,0))</f>
        <v>30493</v>
      </c>
      <c r="H17" s="19" t="n">
        <f aca="false">INDEX(Data_All!$M$5:$M$40,MATCH($A17,Data_All!$A$5:$A$40,0))</f>
        <v>4.07</v>
      </c>
      <c r="I17" s="19" t="n">
        <f aca="false">INDEX(Data_All!$N$5:$N$40,MATCH($A17,Data_All!$A$5:$A$40,0))</f>
        <v>54.75</v>
      </c>
      <c r="J17" s="23" t="n">
        <f aca="false">(MAX($B$5:$B$23)-B17)/(MAX($B$5:$B$23)-MIN($B$5:$B$23))</f>
        <v>0.367654530059272</v>
      </c>
      <c r="K17" s="23" t="n">
        <f aca="false">(C17-MIN($C$5:$C$23))/(MAX($C$5:$C$23)-MIN($C$5:$C$23))</f>
        <v>0.76711644177911</v>
      </c>
      <c r="L17" s="23" t="n">
        <f aca="false">(MAX($D$5:$D$23)-D17)/(MAX($D$5:$D$23)-MIN($D$5:$D$23))</f>
        <v>0</v>
      </c>
      <c r="M17" s="23" t="n">
        <f aca="false">(LN(E17)-LN(MIN($E$5:$E$23)))/(LN(MAX($E$5:$E$23))-LN(MIN($E$5:$E$23)))</f>
        <v>1</v>
      </c>
      <c r="N17" s="23" t="n">
        <f aca="false">(F17-MIN($F$5:$F$23))/(MAX($F$5:$F$23)-MIN($F$5:$F$23))</f>
        <v>0.715151515151515</v>
      </c>
      <c r="O17" s="23" t="n">
        <f aca="false">(MAX($G$5:$G$23)-G17)/(MAX($G$5:$G$23)-MIN($G$5:$G$23))</f>
        <v>0</v>
      </c>
      <c r="P17" s="23" t="n">
        <f aca="false">(MAX($H$5:$H$23)-H17)/(MAX($H$5:$H$23)-MIN($H$5:$H$23))</f>
        <v>0.103896103896104</v>
      </c>
      <c r="Q17" s="23" t="n">
        <f aca="false">(MAX($I$5:$I$23)-I17)/(MAX($I$5:$I$23)-MIN($I$5:$I$23))</f>
        <v>0</v>
      </c>
      <c r="R17" s="24" t="n">
        <f aca="false">100*SUMPRODUCT(J17:P17,Weights!$B$4:$H$4)</f>
        <v>41.5531883209566</v>
      </c>
      <c r="S17" s="7" t="n">
        <f aca="false">RANK(R17,$R$5:$R$23,0)</f>
        <v>13</v>
      </c>
      <c r="T17" s="24" t="n">
        <f aca="false">100*SUMPRODUCT(J17:P17,Weights!$B$5:$H$5)</f>
        <v>42.210067663761</v>
      </c>
      <c r="U17" s="7" t="n">
        <f aca="false">RANK(T17,$T$5:$T$23,0)</f>
        <v>16</v>
      </c>
      <c r="V17" s="24" t="n">
        <f aca="false">100*SUMPRODUCT(J17:P17,Weights!$B$6:$H$6)</f>
        <v>38.2214336847763</v>
      </c>
      <c r="W17" s="7" t="n">
        <f aca="false">RANK(V17,$V$5:$V$23,0)</f>
        <v>19</v>
      </c>
      <c r="X17" s="24" t="n">
        <f aca="false">100*(SUMPRODUCT(J17:O17,Weights!$B$4:$G$4)+Q17*Weights!$H$4)</f>
        <v>40.4809805287488</v>
      </c>
      <c r="Y17" s="7" t="n">
        <f aca="false">RANK(X17,$X$5:$X$23,0)</f>
        <v>16</v>
      </c>
      <c r="Z17" s="25" t="n">
        <f aca="false">(S17&lt;=8)+(U17&lt;=8)+(W17&lt;=8)+(Y17&lt;=8)</f>
        <v>0</v>
      </c>
      <c r="AA17" s="24" t="n">
        <f aca="false">100*SUMPRODUCT(J17:P17,Weights!$B$7:$H$7)</f>
        <v>41.1455515135864</v>
      </c>
      <c r="AB17" s="7" t="n">
        <f aca="false">RANK(AA17,$AA$5:$AA$23,0)</f>
        <v>17</v>
      </c>
    </row>
    <row r="18" customFormat="false" ht="15" hidden="false" customHeight="false" outlineLevel="0" collapsed="false">
      <c r="A18" s="7" t="s">
        <v>53</v>
      </c>
      <c r="B18" s="19" t="n">
        <f aca="false">INDEX(Data_All!$F$5:$F$40,MATCH($A18,Data_All!$A$5:$A$40,0))</f>
        <v>48.75</v>
      </c>
      <c r="C18" s="20" t="n">
        <f aca="false">INDEX(Data_All!$G$5:$G$40,MATCH($A18,Data_All!$A$5:$A$40,0))</f>
        <v>8.21</v>
      </c>
      <c r="D18" s="19" t="n">
        <f aca="false">INDEX(Data_All!$J$5:$J$40,MATCH($A18,Data_All!$A$5:$A$40,0))</f>
        <v>6.95</v>
      </c>
      <c r="E18" s="21" t="n">
        <f aca="false">INDEX(Data_All!$H$5:$H$40,MATCH($A18,Data_All!$A$5:$A$40,0))</f>
        <v>42858</v>
      </c>
      <c r="F18" s="22" t="n">
        <f aca="false">INDEX(Data_All!$K$5:$K$40,MATCH($A18,Data_All!$A$5:$A$40,0))</f>
        <v>11.1</v>
      </c>
      <c r="G18" s="21" t="n">
        <f aca="false">INDEX(Data_All!$L$5:$L$40,MATCH($A18,Data_All!$A$5:$A$40,0))</f>
        <v>24955</v>
      </c>
      <c r="H18" s="19" t="n">
        <f aca="false">INDEX(Data_All!$M$5:$M$40,MATCH($A18,Data_All!$A$5:$A$40,0))</f>
        <v>3.8</v>
      </c>
      <c r="I18" s="19" t="n">
        <f aca="false">INDEX(Data_All!$N$5:$N$40,MATCH($A18,Data_All!$A$5:$A$40,0))</f>
        <v>22.68</v>
      </c>
      <c r="J18" s="23" t="n">
        <f aca="false">(MAX($B$5:$B$23)-B18)/(MAX($B$5:$B$23)-MIN($B$5:$B$23))</f>
        <v>0.41913632514818</v>
      </c>
      <c r="K18" s="23" t="n">
        <f aca="false">(C18-MIN($C$5:$C$23))/(MAX($C$5:$C$23)-MIN($C$5:$C$23))</f>
        <v>0.406796601699151</v>
      </c>
      <c r="L18" s="23" t="n">
        <f aca="false">(MAX($D$5:$D$23)-D18)/(MAX($D$5:$D$23)-MIN($D$5:$D$23))</f>
        <v>0.77875</v>
      </c>
      <c r="M18" s="23" t="n">
        <f aca="false">(LN(E18)-LN(MIN($E$5:$E$23)))/(LN(MAX($E$5:$E$23))-LN(MIN($E$5:$E$23)))</f>
        <v>0.469954516520483</v>
      </c>
      <c r="N18" s="23" t="n">
        <f aca="false">(F18-MIN($F$5:$F$23))/(MAX($F$5:$F$23)-MIN($F$5:$F$23))</f>
        <v>0.157575757575758</v>
      </c>
      <c r="O18" s="23" t="n">
        <f aca="false">(MAX($G$5:$G$23)-G18)/(MAX($G$5:$G$23)-MIN($G$5:$G$23))</f>
        <v>0.473171565276828</v>
      </c>
      <c r="P18" s="23" t="n">
        <f aca="false">(MAX($H$5:$H$23)-H18)/(MAX($H$5:$H$23)-MIN($H$5:$H$23))</f>
        <v>0.220779220779221</v>
      </c>
      <c r="Q18" s="23" t="n">
        <f aca="false">(MAX($I$5:$I$23)-I18)/(MAX($I$5:$I$23)-MIN($I$5:$I$23))</f>
        <v>0.717529925047544</v>
      </c>
      <c r="R18" s="24" t="n">
        <f aca="false">100*SUMPRODUCT(J18:P18,Weights!$B$4:$H$4)</f>
        <v>42.2942835078534</v>
      </c>
      <c r="S18" s="7" t="n">
        <f aca="false">RANK(R18,$R$5:$R$23,0)</f>
        <v>12</v>
      </c>
      <c r="T18" s="24" t="n">
        <f aca="false">100*SUMPRODUCT(J18:P18,Weights!$B$5:$H$5)</f>
        <v>41.8148833742246</v>
      </c>
      <c r="U18" s="7" t="n">
        <f aca="false">RANK(T18,$T$5:$T$23,0)</f>
        <v>17</v>
      </c>
      <c r="V18" s="24" t="n">
        <f aca="false">100*SUMPRODUCT(J18:P18,Weights!$B$6:$H$6)</f>
        <v>39.3367900972355</v>
      </c>
      <c r="W18" s="7" t="n">
        <f aca="false">RANK(V18,$V$5:$V$23,0)</f>
        <v>17</v>
      </c>
      <c r="X18" s="24" t="n">
        <f aca="false">100*(SUMPRODUCT(J18:O18,Weights!$B$4:$G$4)+Q18*Weights!$H$4)</f>
        <v>47.4207507759025</v>
      </c>
      <c r="Y18" s="7" t="n">
        <f aca="false">RANK(X18,$X$5:$X$23,0)</f>
        <v>11</v>
      </c>
      <c r="Z18" s="25" t="n">
        <f aca="false">(S18&lt;=8)+(U18&lt;=8)+(W18&lt;=8)+(Y18&lt;=8)</f>
        <v>0</v>
      </c>
      <c r="AA18" s="24" t="n">
        <f aca="false">100*SUMPRODUCT(J18:P18,Weights!$B$7:$H$7)</f>
        <v>41.2725110217486</v>
      </c>
      <c r="AB18" s="7" t="n">
        <f aca="false">RANK(AA18,$AA$5:$AA$23,0)</f>
        <v>16</v>
      </c>
    </row>
    <row r="19" customFormat="false" ht="15" hidden="false" customHeight="false" outlineLevel="0" collapsed="false">
      <c r="A19" s="7" t="s">
        <v>57</v>
      </c>
      <c r="B19" s="19" t="n">
        <f aca="false">INDEX(Data_All!$F$5:$F$40,MATCH($A19,Data_All!$A$5:$A$40,0))</f>
        <v>73.5</v>
      </c>
      <c r="C19" s="20" t="n">
        <f aca="false">INDEX(Data_All!$G$5:$G$40,MATCH($A19,Data_All!$A$5:$A$40,0))</f>
        <v>5.42</v>
      </c>
      <c r="D19" s="19" t="n">
        <f aca="false">INDEX(Data_All!$J$5:$J$40,MATCH($A19,Data_All!$A$5:$A$40,0))</f>
        <v>9.49</v>
      </c>
      <c r="E19" s="21" t="n">
        <f aca="false">INDEX(Data_All!$H$5:$H$40,MATCH($A19,Data_All!$A$5:$A$40,0))</f>
        <v>130408</v>
      </c>
      <c r="F19" s="22" t="n">
        <f aca="false">INDEX(Data_All!$K$5:$K$40,MATCH($A19,Data_All!$A$5:$A$40,0))</f>
        <v>24.7</v>
      </c>
      <c r="G19" s="21" t="n">
        <f aca="false">INDEX(Data_All!$L$5:$L$40,MATCH($A19,Data_All!$A$5:$A$40,0))</f>
        <v>26223</v>
      </c>
      <c r="H19" s="19" t="n">
        <f aca="false">INDEX(Data_All!$M$5:$M$40,MATCH($A19,Data_All!$A$5:$A$40,0))</f>
        <v>2.84</v>
      </c>
      <c r="I19" s="19" t="n">
        <f aca="false">INDEX(Data_All!$N$5:$N$40,MATCH($A19,Data_All!$A$5:$A$40,0))</f>
        <v>22.36</v>
      </c>
      <c r="J19" s="23" t="n">
        <f aca="false">(MAX($B$5:$B$23)-B19)/(MAX($B$5:$B$23)-MIN($B$5:$B$23))</f>
        <v>0</v>
      </c>
      <c r="K19" s="23" t="n">
        <f aca="false">(C19-MIN($C$5:$C$23))/(MAX($C$5:$C$23)-MIN($C$5:$C$23))</f>
        <v>0.267366316841579</v>
      </c>
      <c r="L19" s="23" t="n">
        <f aca="false">(MAX($D$5:$D$23)-D19)/(MAX($D$5:$D$23)-MIN($D$5:$D$23))</f>
        <v>0.46125</v>
      </c>
      <c r="M19" s="23" t="n">
        <f aca="false">(LN(E19)-LN(MIN($E$5:$E$23)))/(LN(MAX($E$5:$E$23))-LN(MIN($E$5:$E$23)))</f>
        <v>0.850688122462408</v>
      </c>
      <c r="N19" s="23" t="n">
        <f aca="false">(F19-MIN($F$5:$F$23))/(MAX($F$5:$F$23)-MIN($F$5:$F$23))</f>
        <v>0.981818181818182</v>
      </c>
      <c r="O19" s="23" t="n">
        <f aca="false">(MAX($G$5:$G$23)-G19)/(MAX($G$5:$G$23)-MIN($G$5:$G$23))</f>
        <v>0.364832535885167</v>
      </c>
      <c r="P19" s="23" t="n">
        <f aca="false">(MAX($H$5:$H$23)-H19)/(MAX($H$5:$H$23)-MIN($H$5:$H$23))</f>
        <v>0.636363636363636</v>
      </c>
      <c r="Q19" s="23" t="n">
        <f aca="false">(MAX($I$5:$I$23)-I19)/(MAX($I$5:$I$23)-MIN($I$5:$I$23))</f>
        <v>0.724689562590894</v>
      </c>
      <c r="R19" s="24" t="n">
        <f aca="false">100*SUMPRODUCT(J19:P19,Weights!$B$4:$H$4)</f>
        <v>40.6535059314477</v>
      </c>
      <c r="S19" s="7" t="n">
        <f aca="false">RANK(R19,$R$5:$R$23,0)</f>
        <v>14</v>
      </c>
      <c r="T19" s="24" t="n">
        <f aca="false">100*SUMPRODUCT(J19:P19,Weights!$B$5:$H$5)</f>
        <v>50.9055355572712</v>
      </c>
      <c r="U19" s="7" t="n">
        <f aca="false">RANK(T19,$T$5:$T$23,0)</f>
        <v>8</v>
      </c>
      <c r="V19" s="24" t="n">
        <f aca="false">100*SUMPRODUCT(J19:P19,Weights!$B$6:$H$6)</f>
        <v>52.4835303716826</v>
      </c>
      <c r="W19" s="7" t="n">
        <f aca="false">RANK(V19,$V$5:$V$23,0)</f>
        <v>8</v>
      </c>
      <c r="X19" s="24" t="n">
        <f aca="false">100*(SUMPRODUCT(J19:O19,Weights!$B$4:$G$4)+Q19*Weights!$H$4)</f>
        <v>41.565029490113</v>
      </c>
      <c r="Y19" s="7" t="n">
        <f aca="false">RANK(X19,$X$5:$X$23,0)</f>
        <v>15</v>
      </c>
      <c r="Z19" s="25" t="n">
        <f aca="false">(S19&lt;=8)+(U19&lt;=8)+(W19&lt;=8)+(Y19&lt;=8)</f>
        <v>2</v>
      </c>
      <c r="AA19" s="24" t="n">
        <f aca="false">100*SUMPRODUCT(J19:P19,Weights!$B$7:$H$7)</f>
        <v>47.3571786088267</v>
      </c>
      <c r="AB19" s="7" t="n">
        <f aca="false">RANK(AA19,$AA$5:$AA$23,0)</f>
        <v>11</v>
      </c>
    </row>
    <row r="20" customFormat="false" ht="15" hidden="false" customHeight="false" outlineLevel="0" collapsed="false">
      <c r="A20" s="7" t="s">
        <v>58</v>
      </c>
      <c r="B20" s="19" t="n">
        <f aca="false">INDEX(Data_All!$F$5:$F$40,MATCH($A20,Data_All!$A$5:$A$40,0))</f>
        <v>46.69</v>
      </c>
      <c r="C20" s="20" t="n">
        <f aca="false">INDEX(Data_All!$G$5:$G$40,MATCH($A20,Data_All!$A$5:$A$40,0))</f>
        <v>10.58</v>
      </c>
      <c r="D20" s="19" t="n">
        <f aca="false">INDEX(Data_All!$J$5:$J$40,MATCH($A20,Data_All!$A$5:$A$40,0))</f>
        <v>8.79</v>
      </c>
      <c r="E20" s="21" t="n">
        <f aca="false">INDEX(Data_All!$H$5:$H$40,MATCH($A20,Data_All!$A$5:$A$40,0))</f>
        <v>88258</v>
      </c>
      <c r="F20" s="22" t="n">
        <f aca="false">INDEX(Data_All!$K$5:$K$40,MATCH($A20,Data_All!$A$5:$A$40,0))</f>
        <v>18.3</v>
      </c>
      <c r="G20" s="21" t="n">
        <f aca="false">INDEX(Data_All!$L$5:$L$40,MATCH($A20,Data_All!$A$5:$A$40,0))</f>
        <v>29697</v>
      </c>
      <c r="H20" s="19" t="n">
        <f aca="false">INDEX(Data_All!$M$5:$M$40,MATCH($A20,Data_All!$A$5:$A$40,0))</f>
        <v>2</v>
      </c>
      <c r="I20" s="19" t="n">
        <f aca="false">INDEX(Data_All!$N$5:$N$40,MATCH($A20,Data_All!$A$5:$A$40,0))</f>
        <v>18.25</v>
      </c>
      <c r="J20" s="23" t="n">
        <f aca="false">(MAX($B$5:$B$23)-B20)/(MAX($B$5:$B$23)-MIN($B$5:$B$23))</f>
        <v>0.454022015241321</v>
      </c>
      <c r="K20" s="23" t="n">
        <f aca="false">(C20-MIN($C$5:$C$23))/(MAX($C$5:$C$23)-MIN($C$5:$C$23))</f>
        <v>0.525237381309345</v>
      </c>
      <c r="L20" s="23" t="n">
        <f aca="false">(MAX($D$5:$D$23)-D20)/(MAX($D$5:$D$23)-MIN($D$5:$D$23))</f>
        <v>0.54875</v>
      </c>
      <c r="M20" s="23" t="n">
        <f aca="false">(LN(E20)-LN(MIN($E$5:$E$23)))/(LN(MAX($E$5:$E$23))-LN(MIN($E$5:$E$23)))</f>
        <v>0.717112420971946</v>
      </c>
      <c r="N20" s="23" t="n">
        <f aca="false">(F20-MIN($F$5:$F$23))/(MAX($F$5:$F$23)-MIN($F$5:$F$23))</f>
        <v>0.593939393939394</v>
      </c>
      <c r="O20" s="23" t="n">
        <f aca="false">(MAX($G$5:$G$23)-G20)/(MAX($G$5:$G$23)-MIN($G$5:$G$23))</f>
        <v>0.0680109364319891</v>
      </c>
      <c r="P20" s="23" t="n">
        <f aca="false">(MAX($H$5:$H$23)-H20)/(MAX($H$5:$H$23)-MIN($H$5:$H$23))</f>
        <v>1</v>
      </c>
      <c r="Q20" s="23" t="n">
        <f aca="false">(MAX($I$5:$I$23)-I20)/(MAX($I$5:$I$23)-MIN($I$5:$I$23))</f>
        <v>0.816646157288287</v>
      </c>
      <c r="R20" s="24" t="n">
        <f aca="false">100*SUMPRODUCT(J20:P20,Weights!$B$4:$H$4)</f>
        <v>49.470436108988</v>
      </c>
      <c r="S20" s="7" t="n">
        <f aca="false">RANK(R20,$R$5:$R$23,0)</f>
        <v>10</v>
      </c>
      <c r="T20" s="24" t="n">
        <f aca="false">100*SUMPRODUCT(J20:P20,Weights!$B$5:$H$5)</f>
        <v>55.8320609934052</v>
      </c>
      <c r="U20" s="7" t="n">
        <f aca="false">RANK(T20,$T$5:$T$23,0)</f>
        <v>3</v>
      </c>
      <c r="V20" s="24" t="n">
        <f aca="false">100*SUMPRODUCT(J20:P20,Weights!$B$6:$H$6)</f>
        <v>61.3384018486749</v>
      </c>
      <c r="W20" s="7" t="n">
        <f aca="false">RANK(V20,$V$5:$V$23,0)</f>
        <v>2</v>
      </c>
      <c r="X20" s="24" t="n">
        <f aca="false">100*(SUMPRODUCT(J20:O20,Weights!$B$4:$G$4)+Q20*Weights!$H$4)</f>
        <v>47.5782244522032</v>
      </c>
      <c r="Y20" s="7" t="n">
        <f aca="false">RANK(X20,$X$5:$X$23,0)</f>
        <v>10</v>
      </c>
      <c r="Z20" s="25" t="n">
        <f aca="false">(S20&lt;=8)+(U20&lt;=8)+(W20&lt;=8)+(Y20&lt;=8)</f>
        <v>2</v>
      </c>
      <c r="AA20" s="24" t="n">
        <f aca="false">100*SUMPRODUCT(J20:P20,Weights!$B$7:$H$7)</f>
        <v>56.9505755075969</v>
      </c>
      <c r="AB20" s="7" t="n">
        <f aca="false">RANK(AA20,$AA$5:$AA$23,0)</f>
        <v>2</v>
      </c>
    </row>
    <row r="21" customFormat="false" ht="15" hidden="false" customHeight="false" outlineLevel="0" collapsed="false">
      <c r="A21" s="7" t="s">
        <v>60</v>
      </c>
      <c r="B21" s="19" t="n">
        <f aca="false">INDEX(Data_All!$F$5:$F$40,MATCH($A21,Data_All!$A$5:$A$40,0))</f>
        <v>70</v>
      </c>
      <c r="C21" s="20" t="n">
        <f aca="false">INDEX(Data_All!$G$5:$G$40,MATCH($A21,Data_All!$A$5:$A$40,0))</f>
        <v>20.08</v>
      </c>
      <c r="D21" s="19" t="n">
        <f aca="false">INDEX(Data_All!$J$5:$J$40,MATCH($A21,Data_All!$A$5:$A$40,0))</f>
        <v>8.91</v>
      </c>
      <c r="E21" s="21" t="n">
        <f aca="false">INDEX(Data_All!$H$5:$H$40,MATCH($A21,Data_All!$A$5:$A$40,0))</f>
        <v>164786</v>
      </c>
      <c r="F21" s="22" t="n">
        <f aca="false">INDEX(Data_All!$K$5:$K$40,MATCH($A21,Data_All!$A$5:$A$40,0))</f>
        <v>14.6</v>
      </c>
      <c r="G21" s="21" t="n">
        <f aca="false">INDEX(Data_All!$L$5:$L$40,MATCH($A21,Data_All!$A$5:$A$40,0))</f>
        <v>21940</v>
      </c>
      <c r="H21" s="19" t="n">
        <f aca="false">INDEX(Data_All!$M$5:$M$40,MATCH($A21,Data_All!$A$5:$A$40,0))</f>
        <v>2.62</v>
      </c>
      <c r="I21" s="19" t="n">
        <f aca="false">INDEX(Data_All!$N$5:$N$40,MATCH($A21,Data_All!$A$5:$A$40,0))</f>
        <v>42.24</v>
      </c>
      <c r="J21" s="23" t="n">
        <f aca="false">(MAX($B$5:$B$23)-B21)/(MAX($B$5:$B$23)-MIN($B$5:$B$23))</f>
        <v>0.0592718035563082</v>
      </c>
      <c r="K21" s="23" t="n">
        <f aca="false">(C21-MIN($C$5:$C$23))/(MAX($C$5:$C$23)-MIN($C$5:$C$23))</f>
        <v>1</v>
      </c>
      <c r="L21" s="23" t="n">
        <f aca="false">(MAX($D$5:$D$23)-D21)/(MAX($D$5:$D$23)-MIN($D$5:$D$23))</f>
        <v>0.53375</v>
      </c>
      <c r="M21" s="23" t="n">
        <f aca="false">(LN(E21)-LN(MIN($E$5:$E$23)))/(LN(MAX($E$5:$E$23))-LN(MIN($E$5:$E$23)))</f>
        <v>0.930743720245854</v>
      </c>
      <c r="N21" s="23" t="n">
        <f aca="false">(F21-MIN($F$5:$F$23))/(MAX($F$5:$F$23)-MIN($F$5:$F$23))</f>
        <v>0.36969696969697</v>
      </c>
      <c r="O21" s="23" t="n">
        <f aca="false">(MAX($G$5:$G$23)-G21)/(MAX($G$5:$G$23)-MIN($G$5:$G$23))</f>
        <v>0.730775803144224</v>
      </c>
      <c r="P21" s="23" t="n">
        <f aca="false">(MAX($H$5:$H$23)-H21)/(MAX($H$5:$H$23)-MIN($H$5:$H$23))</f>
        <v>0.731601731601732</v>
      </c>
      <c r="Q21" s="23" t="n">
        <f aca="false">(MAX($I$5:$I$23)-I21)/(MAX($I$5:$I$23)-MIN($I$5:$I$23))</f>
        <v>0.279897080210314</v>
      </c>
      <c r="R21" s="24" t="n">
        <f aca="false">100*SUMPRODUCT(J21:P21,Weights!$B$4:$H$4)</f>
        <v>61.855838434422</v>
      </c>
      <c r="S21" s="7" t="n">
        <f aca="false">RANK(R21,$R$5:$R$23,0)</f>
        <v>1</v>
      </c>
      <c r="T21" s="24" t="n">
        <f aca="false">100*SUMPRODUCT(J21:P21,Weights!$B$5:$H$5)</f>
        <v>62.2449540036223</v>
      </c>
      <c r="U21" s="7" t="n">
        <f aca="false">RANK(T21,$T$5:$T$23,0)</f>
        <v>1</v>
      </c>
      <c r="V21" s="24" t="n">
        <f aca="false">100*SUMPRODUCT(J21:P21,Weights!$B$6:$H$6)</f>
        <v>63.5930219980852</v>
      </c>
      <c r="W21" s="7" t="n">
        <f aca="false">RANK(V21,$V$5:$V$23,0)</f>
        <v>1</v>
      </c>
      <c r="X21" s="24" t="n">
        <f aca="false">100*(SUMPRODUCT(J21:O21,Weights!$B$4:$G$4)+Q21*Weights!$H$4)</f>
        <v>57.1942464320626</v>
      </c>
      <c r="Y21" s="7" t="n">
        <f aca="false">RANK(X21,$X$5:$X$23,0)</f>
        <v>3</v>
      </c>
      <c r="Z21" s="25" t="n">
        <f aca="false">(S21&lt;=8)+(U21&lt;=8)+(W21&lt;=8)+(Y21&lt;=8)</f>
        <v>4</v>
      </c>
      <c r="AA21" s="24" t="n">
        <f aca="false">100*SUMPRODUCT(J21:P21,Weights!$B$7:$H$7)</f>
        <v>57.3263618245075</v>
      </c>
      <c r="AB21" s="7" t="n">
        <f aca="false">RANK(AA21,$AA$5:$AA$23,0)</f>
        <v>1</v>
      </c>
    </row>
    <row r="22" customFormat="false" ht="15" hidden="false" customHeight="false" outlineLevel="0" collapsed="false">
      <c r="A22" s="7" t="s">
        <v>61</v>
      </c>
      <c r="B22" s="19" t="n">
        <f aca="false">INDEX(Data_All!$F$5:$F$40,MATCH($A22,Data_All!$A$5:$A$40,0))</f>
        <v>53.92</v>
      </c>
      <c r="C22" s="20" t="n">
        <f aca="false">INDEX(Data_All!$G$5:$G$40,MATCH($A22,Data_All!$A$5:$A$40,0))</f>
        <v>0.9</v>
      </c>
      <c r="D22" s="19" t="n">
        <f aca="false">INDEX(Data_All!$J$5:$J$40,MATCH($A22,Data_All!$A$5:$A$40,0))</f>
        <v>9.95</v>
      </c>
      <c r="E22" s="21" t="n">
        <f aca="false">INDEX(Data_All!$H$5:$H$40,MATCH($A22,Data_All!$A$5:$A$40,0))</f>
        <v>16727</v>
      </c>
      <c r="F22" s="22" t="n">
        <f aca="false">INDEX(Data_All!$K$5:$K$40,MATCH($A22,Data_All!$A$5:$A$40,0))</f>
        <v>18</v>
      </c>
      <c r="G22" s="21" t="n">
        <f aca="false">INDEX(Data_All!$L$5:$L$40,MATCH($A22,Data_All!$A$5:$A$40,0))</f>
        <v>20912</v>
      </c>
      <c r="H22" s="19" t="n">
        <f aca="false">INDEX(Data_All!$M$5:$M$40,MATCH($A22,Data_All!$A$5:$A$40,0))</f>
        <v>3.38</v>
      </c>
      <c r="I22" s="19" t="n">
        <f aca="false">INDEX(Data_All!$N$5:$N$40,MATCH($A22,Data_All!$A$5:$A$40,0))</f>
        <v>18.16</v>
      </c>
      <c r="J22" s="23" t="n">
        <f aca="false">(MAX($B$5:$B$23)-B22)/(MAX($B$5:$B$23)-MIN($B$5:$B$23))</f>
        <v>0.331583403895004</v>
      </c>
      <c r="K22" s="23" t="n">
        <f aca="false">(C22-MIN($C$5:$C$23))/(MAX($C$5:$C$23)-MIN($C$5:$C$23))</f>
        <v>0.0414792603698151</v>
      </c>
      <c r="L22" s="23" t="n">
        <f aca="false">(MAX($D$5:$D$23)-D22)/(MAX($D$5:$D$23)-MIN($D$5:$D$23))</f>
        <v>0.40375</v>
      </c>
      <c r="M22" s="23" t="n">
        <f aca="false">(LN(E22)-LN(MIN($E$5:$E$23)))/(LN(MAX($E$5:$E$23))-LN(MIN($E$5:$E$23)))</f>
        <v>0.148038670736274</v>
      </c>
      <c r="N22" s="23" t="n">
        <f aca="false">(F22-MIN($F$5:$F$23))/(MAX($F$5:$F$23)-MIN($F$5:$F$23))</f>
        <v>0.575757575757576</v>
      </c>
      <c r="O22" s="23" t="n">
        <f aca="false">(MAX($G$5:$G$23)-G22)/(MAX($G$5:$G$23)-MIN($G$5:$G$23))</f>
        <v>0.818609022556391</v>
      </c>
      <c r="P22" s="23" t="n">
        <f aca="false">(MAX($H$5:$H$23)-H22)/(MAX($H$5:$H$23)-MIN($H$5:$H$23))</f>
        <v>0.402597402597403</v>
      </c>
      <c r="Q22" s="23" t="n">
        <f aca="false">(MAX($I$5:$I$23)-I22)/(MAX($I$5:$I$23)-MIN($I$5:$I$23))</f>
        <v>0.818659805347354</v>
      </c>
      <c r="R22" s="24" t="n">
        <f aca="false">100*SUMPRODUCT(J22:P22,Weights!$B$4:$H$4)</f>
        <v>38.4021891387228</v>
      </c>
      <c r="S22" s="7" t="n">
        <f aca="false">RANK(R22,$R$5:$R$23,0)</f>
        <v>15</v>
      </c>
      <c r="T22" s="24" t="n">
        <f aca="false">100*SUMPRODUCT(J22:P22,Weights!$B$5:$H$5)</f>
        <v>38.8947411501891</v>
      </c>
      <c r="U22" s="7" t="n">
        <f aca="false">RANK(T22,$T$5:$T$23,0)</f>
        <v>18</v>
      </c>
      <c r="V22" s="24" t="n">
        <f aca="false">100*SUMPRODUCT(J22:P22,Weights!$B$6:$H$6)</f>
        <v>39.0551592313733</v>
      </c>
      <c r="W22" s="7" t="n">
        <f aca="false">RANK(V22,$V$5:$V$23,0)</f>
        <v>18</v>
      </c>
      <c r="X22" s="24" t="n">
        <f aca="false">100*(SUMPRODUCT(J22:O22,Weights!$B$4:$G$4)+Q22*Weights!$H$4)</f>
        <v>42.6959531351023</v>
      </c>
      <c r="Y22" s="7" t="n">
        <f aca="false">RANK(X22,$X$5:$X$23,0)</f>
        <v>13</v>
      </c>
      <c r="Z22" s="25" t="n">
        <f aca="false">(S22&lt;=8)+(U22&lt;=8)+(W22&lt;=8)+(Y22&lt;=8)</f>
        <v>0</v>
      </c>
      <c r="AA22" s="24" t="n">
        <f aca="false">100*SUMPRODUCT(J22:P22,Weights!$B$7:$H$7)</f>
        <v>37.6519085916986</v>
      </c>
      <c r="AB22" s="7" t="n">
        <f aca="false">RANK(AA22,$AA$5:$AA$23,0)</f>
        <v>19</v>
      </c>
    </row>
    <row r="23" customFormat="false" ht="15" hidden="false" customHeight="false" outlineLevel="0" collapsed="false">
      <c r="A23" s="7" t="s">
        <v>62</v>
      </c>
      <c r="B23" s="19" t="n">
        <f aca="false">INDEX(Data_All!$F$5:$F$40,MATCH($A23,Data_All!$A$5:$A$40,0))</f>
        <v>45.19</v>
      </c>
      <c r="C23" s="20" t="n">
        <f aca="false">INDEX(Data_All!$G$5:$G$40,MATCH($A23,Data_All!$A$5:$A$40,0))</f>
        <v>12.88</v>
      </c>
      <c r="D23" s="19" t="n">
        <f aca="false">INDEX(Data_All!$J$5:$J$40,MATCH($A23,Data_All!$A$5:$A$40,0))</f>
        <v>9.04</v>
      </c>
      <c r="E23" s="21" t="n">
        <f aca="false">INDEX(Data_All!$H$5:$H$40,MATCH($A23,Data_All!$A$5:$A$40,0))</f>
        <v>71085</v>
      </c>
      <c r="F23" s="22" t="n">
        <f aca="false">INDEX(Data_All!$K$5:$K$40,MATCH($A23,Data_All!$A$5:$A$40,0))</f>
        <v>10.9</v>
      </c>
      <c r="G23" s="21" t="n">
        <f aca="false">INDEX(Data_All!$L$5:$L$40,MATCH($A23,Data_All!$A$5:$A$40,0))</f>
        <v>19019</v>
      </c>
      <c r="H23" s="19" t="n">
        <f aca="false">INDEX(Data_All!$M$5:$M$40,MATCH($A23,Data_All!$A$5:$A$40,0))</f>
        <v>4.31</v>
      </c>
      <c r="I23" s="19" t="n">
        <f aca="false">INDEX(Data_All!$N$5:$N$40,MATCH($A23,Data_All!$A$5:$A$40,0))</f>
        <v>51.78</v>
      </c>
      <c r="J23" s="23" t="n">
        <f aca="false">(MAX($B$5:$B$23)-B23)/(MAX($B$5:$B$23)-MIN($B$5:$B$23))</f>
        <v>0.479424216765453</v>
      </c>
      <c r="K23" s="23" t="n">
        <f aca="false">(C23-MIN($C$5:$C$23))/(MAX($C$5:$C$23)-MIN($C$5:$C$23))</f>
        <v>0.640179910044978</v>
      </c>
      <c r="L23" s="23" t="n">
        <f aca="false">(MAX($D$5:$D$23)-D23)/(MAX($D$5:$D$23)-MIN($D$5:$D$23))</f>
        <v>0.5175</v>
      </c>
      <c r="M23" s="23" t="n">
        <f aca="false">(LN(E23)-LN(MIN($E$5:$E$23)))/(LN(MAX($E$5:$E$23))-LN(MIN($E$5:$E$23)))</f>
        <v>0.643075770738895</v>
      </c>
      <c r="N23" s="23" t="n">
        <f aca="false">(F23-MIN($F$5:$F$23))/(MAX($F$5:$F$23)-MIN($F$5:$F$23))</f>
        <v>0.145454545454545</v>
      </c>
      <c r="O23" s="23" t="n">
        <f aca="false">(MAX($G$5:$G$23)-G23)/(MAX($G$5:$G$23)-MIN($G$5:$G$23))</f>
        <v>0.980348598769651</v>
      </c>
      <c r="P23" s="23" t="n">
        <f aca="false">(MAX($H$5:$H$23)-H23)/(MAX($H$5:$H$23)-MIN($H$5:$H$23))</f>
        <v>0</v>
      </c>
      <c r="Q23" s="23" t="n">
        <f aca="false">(MAX($I$5:$I$23)-I23)/(MAX($I$5:$I$23)-MIN($I$5:$I$23))</f>
        <v>0.0664503859492113</v>
      </c>
      <c r="R23" s="24" t="n">
        <f aca="false">100*SUMPRODUCT(J23:P23,Weights!$B$4:$H$4)</f>
        <v>56.2176689716635</v>
      </c>
      <c r="S23" s="7" t="n">
        <f aca="false">RANK(R23,$R$5:$R$23,0)</f>
        <v>4</v>
      </c>
      <c r="T23" s="24" t="n">
        <f aca="false">100*SUMPRODUCT(J23:P23,Weights!$B$5:$H$5)</f>
        <v>48.6714976669436</v>
      </c>
      <c r="U23" s="7" t="n">
        <f aca="false">RANK(T23,$T$5:$T$23,0)</f>
        <v>10</v>
      </c>
      <c r="V23" s="24" t="n">
        <f aca="false">100*SUMPRODUCT(J23:P23,Weights!$B$6:$H$6)</f>
        <v>42.574788022169</v>
      </c>
      <c r="W23" s="7" t="n">
        <f aca="false">RANK(V23,$V$5:$V$23,0)</f>
        <v>15</v>
      </c>
      <c r="X23" s="24" t="n">
        <f aca="false">100*(SUMPRODUCT(J23:O23,Weights!$B$4:$G$4)+Q23*Weights!$H$4)</f>
        <v>56.9034369546594</v>
      </c>
      <c r="Y23" s="7" t="n">
        <f aca="false">RANK(X23,$X$5:$X$23,0)</f>
        <v>4</v>
      </c>
      <c r="Z23" s="25" t="n">
        <f aca="false">(S23&lt;=8)+(U23&lt;=8)+(W23&lt;=8)+(Y23&lt;=8)</f>
        <v>2</v>
      </c>
      <c r="AA23" s="24" t="n">
        <f aca="false">100*SUMPRODUCT(J23:P23,Weights!$B$7:$H$7)</f>
        <v>45.3697448628874</v>
      </c>
      <c r="AB23" s="7" t="n">
        <f aca="false">RANK(AA23,$AA$5:$AA$23,0)</f>
        <v>13</v>
      </c>
    </row>
    <row r="25" customFormat="false" ht="15" hidden="false" customHeight="false" outlineLevel="0" collapsed="false">
      <c r="A25" s="5" t="s">
        <v>121</v>
      </c>
    </row>
  </sheetData>
  <conditionalFormatting sqref="R5:R23">
    <cfRule type="colorScale" priority="2">
      <colorScale>
        <cfvo type="min" val="0"/>
        <cfvo type="percentile" val="50"/>
        <cfvo type="max" val="0"/>
        <color rgb="FFE2A65B"/>
        <color rgb="FFE6DCA4"/>
        <color rgb="FF4BAE8A"/>
      </colorScale>
    </cfRule>
  </conditionalFormatting>
  <conditionalFormatting sqref="Z5:Z23">
    <cfRule type="colorScale" priority="3">
      <colorScale>
        <cfvo type="num" val="0"/>
        <cfvo type="num" val="4"/>
        <color rgb="FFFFFFFF"/>
        <color rgb="FF4BAE8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4" t="s">
        <v>122</v>
      </c>
    </row>
    <row r="3" customFormat="false" ht="57.75" hidden="false" customHeight="true" outlineLevel="0" collapsed="false">
      <c r="A3" s="6" t="s">
        <v>123</v>
      </c>
      <c r="B3" s="6" t="s">
        <v>124</v>
      </c>
      <c r="C3" s="6" t="s">
        <v>125</v>
      </c>
      <c r="D3" s="6" t="s">
        <v>126</v>
      </c>
    </row>
    <row r="4" customFormat="false" ht="23.85" hidden="false" customHeight="false" outlineLevel="0" collapsed="false">
      <c r="A4" s="26" t="s">
        <v>127</v>
      </c>
      <c r="B4" s="26" t="s">
        <v>128</v>
      </c>
      <c r="C4" s="26" t="s">
        <v>129</v>
      </c>
      <c r="D4" s="26" t="s">
        <v>130</v>
      </c>
    </row>
    <row r="5" customFormat="false" ht="23.85" hidden="false" customHeight="false" outlineLevel="0" collapsed="false">
      <c r="A5" s="26" t="s">
        <v>131</v>
      </c>
      <c r="B5" s="26" t="s">
        <v>132</v>
      </c>
      <c r="C5" s="26" t="s">
        <v>133</v>
      </c>
      <c r="D5" s="26" t="s">
        <v>134</v>
      </c>
    </row>
    <row r="6" customFormat="false" ht="23.85" hidden="false" customHeight="false" outlineLevel="0" collapsed="false">
      <c r="A6" s="26" t="s">
        <v>135</v>
      </c>
      <c r="B6" s="26" t="s">
        <v>136</v>
      </c>
      <c r="C6" s="26" t="s">
        <v>137</v>
      </c>
      <c r="D6" s="26" t="s">
        <v>138</v>
      </c>
    </row>
    <row r="7" customFormat="false" ht="23.85" hidden="false" customHeight="false" outlineLevel="0" collapsed="false">
      <c r="A7" s="26" t="s">
        <v>139</v>
      </c>
      <c r="B7" s="26" t="s">
        <v>140</v>
      </c>
      <c r="C7" s="26" t="s">
        <v>141</v>
      </c>
      <c r="D7" s="26" t="s">
        <v>142</v>
      </c>
    </row>
    <row r="8" customFormat="false" ht="23.85" hidden="false" customHeight="false" outlineLevel="0" collapsed="false">
      <c r="A8" s="26" t="s">
        <v>143</v>
      </c>
      <c r="B8" s="26" t="s">
        <v>144</v>
      </c>
      <c r="C8" s="26" t="s">
        <v>141</v>
      </c>
      <c r="D8" s="26" t="s">
        <v>145</v>
      </c>
    </row>
    <row r="9" customFormat="false" ht="23.85" hidden="false" customHeight="false" outlineLevel="0" collapsed="false">
      <c r="A9" s="26" t="s">
        <v>146</v>
      </c>
      <c r="B9" s="26" t="s">
        <v>147</v>
      </c>
      <c r="C9" s="26" t="s">
        <v>148</v>
      </c>
      <c r="D9" s="26" t="s">
        <v>149</v>
      </c>
    </row>
    <row r="10" customFormat="false" ht="23.85" hidden="false" customHeight="false" outlineLevel="0" collapsed="false">
      <c r="A10" s="26" t="s">
        <v>150</v>
      </c>
      <c r="B10" s="26" t="s">
        <v>151</v>
      </c>
      <c r="C10" s="26" t="s">
        <v>152</v>
      </c>
      <c r="D10" s="26" t="s">
        <v>153</v>
      </c>
    </row>
    <row r="11" customFormat="false" ht="15" hidden="false" customHeight="false" outlineLevel="0" collapsed="false">
      <c r="A11" s="26" t="s">
        <v>154</v>
      </c>
      <c r="B11" s="26" t="s">
        <v>155</v>
      </c>
      <c r="C11" s="26" t="s">
        <v>156</v>
      </c>
      <c r="D11" s="26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2026-10-07T07:11:12Z</dcterms:created>
  <dc:creator>openpyxl</dc:creator>
  <dc:description/>
  <dc:language>en-US</dc:language>
  <cp:lastModifiedBy/>
  <dcterms:modified xsi:type="dcterms:W3CDTF">2026-10-07T07:11:12Z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